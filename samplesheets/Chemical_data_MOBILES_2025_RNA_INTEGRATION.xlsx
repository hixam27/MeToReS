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xam27/Documents/"/>
    </mc:Choice>
  </mc:AlternateContent>
  <xr:revisionPtr revIDLastSave="0" documentId="13_ncr:1_{3A3962C0-85D3-A942-BE54-32872586ADE4}" xr6:coauthVersionLast="47" xr6:coauthVersionMax="47" xr10:uidLastSave="{00000000-0000-0000-0000-000000000000}"/>
  <bookViews>
    <workbookView xWindow="0" yWindow="740" windowWidth="15000" windowHeight="18900" activeTab="1" xr2:uid="{3DD7F1E0-B4F8-42AC-989E-5EB19E9CD24A}"/>
  </bookViews>
  <sheets>
    <sheet name="FULL_DATASET" sheetId="1" r:id="rId1"/>
    <sheet name="14_DATASET" sheetId="2" r:id="rId2"/>
  </sheets>
  <externalReferences>
    <externalReference r:id="rId3"/>
  </externalReferences>
  <definedNames>
    <definedName name="GR_1_S_1">FULL_DATASET!$A$14:$A$19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3" i="1" l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<sst xmlns="http://schemas.openxmlformats.org/spreadsheetml/2006/main" count="283" uniqueCount="104">
  <si>
    <t>SampleID</t>
  </si>
  <si>
    <t>Country</t>
  </si>
  <si>
    <t>Season</t>
  </si>
  <si>
    <t>Replicate</t>
  </si>
  <si>
    <t>Greece_subset</t>
  </si>
  <si>
    <t>Al_I</t>
  </si>
  <si>
    <t>As_I</t>
  </si>
  <si>
    <t>Ba_I</t>
  </si>
  <si>
    <t>Ca_I</t>
  </si>
  <si>
    <t>Cd_I</t>
  </si>
  <si>
    <t>Co_I</t>
  </si>
  <si>
    <t>Cr_I</t>
  </si>
  <si>
    <t>Cu_I</t>
  </si>
  <si>
    <t>Fe_I</t>
  </si>
  <si>
    <t>K_I</t>
  </si>
  <si>
    <t>Mg_I</t>
  </si>
  <si>
    <t>Mn_I</t>
  </si>
  <si>
    <t>Na_I</t>
  </si>
  <si>
    <t>Ni_I</t>
  </si>
  <si>
    <t>P_I</t>
  </si>
  <si>
    <t>Pb_I</t>
  </si>
  <si>
    <t>S_I</t>
  </si>
  <si>
    <t>Sr_I</t>
  </si>
  <si>
    <t>Zn_I</t>
  </si>
  <si>
    <t>Al_PT</t>
  </si>
  <si>
    <t>As_PT</t>
  </si>
  <si>
    <t>Ba_PT</t>
  </si>
  <si>
    <t>Ca_PT</t>
  </si>
  <si>
    <t>Cd_PT</t>
  </si>
  <si>
    <t>Co_PT</t>
  </si>
  <si>
    <t>Cr_PT</t>
  </si>
  <si>
    <t>Cu_PT</t>
  </si>
  <si>
    <t>Fe_PT</t>
  </si>
  <si>
    <t>K_PT</t>
  </si>
  <si>
    <t>Mg_PT</t>
  </si>
  <si>
    <t>Mn_PT</t>
  </si>
  <si>
    <t>Na_PT</t>
  </si>
  <si>
    <t>Ni_PT</t>
  </si>
  <si>
    <t>P_PT</t>
  </si>
  <si>
    <t>Pb_PT</t>
  </si>
  <si>
    <t>S_PT</t>
  </si>
  <si>
    <t>Sr_PT</t>
  </si>
  <si>
    <t>Zn_PT</t>
  </si>
  <si>
    <t>IT_A_1</t>
  </si>
  <si>
    <t>Italy</t>
  </si>
  <si>
    <t>A</t>
  </si>
  <si>
    <t>1</t>
  </si>
  <si>
    <t>IT_A_2</t>
  </si>
  <si>
    <t>2</t>
  </si>
  <si>
    <t>IT_A_3</t>
  </si>
  <si>
    <t>3</t>
  </si>
  <si>
    <t>IT_S_1</t>
  </si>
  <si>
    <t>S</t>
  </si>
  <si>
    <t>IT_S_2</t>
  </si>
  <si>
    <t>IT_S_3</t>
  </si>
  <si>
    <t>GR_1_A_1</t>
  </si>
  <si>
    <t>Greece</t>
  </si>
  <si>
    <t>GR_1</t>
  </si>
  <si>
    <t>GR_1_A_2</t>
  </si>
  <si>
    <t>GR_1_A_3</t>
  </si>
  <si>
    <t>GR_2_A_1</t>
  </si>
  <si>
    <t>GR_2</t>
  </si>
  <si>
    <t>GR_2_A_2</t>
  </si>
  <si>
    <t>GR_2_A_3</t>
  </si>
  <si>
    <t>PL_A_1</t>
  </si>
  <si>
    <t>Poland</t>
  </si>
  <si>
    <t>PL_A_2</t>
  </si>
  <si>
    <t>PL_A_3</t>
  </si>
  <si>
    <t>PL_S_1</t>
  </si>
  <si>
    <t>PL_S_2</t>
  </si>
  <si>
    <t>PL_S_3</t>
  </si>
  <si>
    <t>GER_A_1</t>
  </si>
  <si>
    <t>Germany</t>
  </si>
  <si>
    <t>GER_A_2</t>
  </si>
  <si>
    <t>GER_A_3</t>
  </si>
  <si>
    <t>GER_S_1</t>
  </si>
  <si>
    <t>GER_S_2</t>
  </si>
  <si>
    <t>GER_S_3</t>
  </si>
  <si>
    <t>FR_A_1</t>
  </si>
  <si>
    <t>France</t>
  </si>
  <si>
    <t>FR_A_2</t>
  </si>
  <si>
    <t>FR_A_3</t>
  </si>
  <si>
    <t>FR_S_1</t>
  </si>
  <si>
    <t>FR_S_2</t>
  </si>
  <si>
    <t>FR_S_3</t>
  </si>
  <si>
    <t>CY_A_1</t>
  </si>
  <si>
    <t>Cyprus</t>
  </si>
  <si>
    <t>CY_A_2</t>
  </si>
  <si>
    <t>CY_A_3</t>
  </si>
  <si>
    <t>CY_S_1</t>
  </si>
  <si>
    <t>CY_S_2</t>
  </si>
  <si>
    <t>CY_S_3</t>
  </si>
  <si>
    <t>GR_1_S_1</t>
  </si>
  <si>
    <t>GR_1_S_2</t>
  </si>
  <si>
    <t>GR_1_S_3</t>
  </si>
  <si>
    <t>GR_2_S_1</t>
  </si>
  <si>
    <t>GR_2_S_2</t>
  </si>
  <si>
    <t>GR_2_S_3</t>
  </si>
  <si>
    <t>GR_A_1_3</t>
  </si>
  <si>
    <t>GR_A_2_2</t>
  </si>
  <si>
    <t>GR_S_1_3</t>
  </si>
  <si>
    <t>GR_S_2_3</t>
  </si>
  <si>
    <t>CYP_A_3</t>
  </si>
  <si>
    <t>CYP_S_3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</si>
</sst>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ISAFOM/01.MOBILES/Chemical%20analyses/MOBILES_env_matrix.xlsx" TargetMode="External"/><Relationship Id="rId1" Type="http://schemas.openxmlformats.org/officeDocument/2006/relationships/externalLinkPath" Target="file:///G:/ISAFOM/01.MOBILES/Chemical%20analyses/MOBILES_env_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metadata"/>
      <sheetName val="PhaseI_bioavailable"/>
      <sheetName val="PseudoTotal"/>
      <sheetName val="MobilityFactor_pct"/>
      <sheetName val="env_matrix_R"/>
    </sheetNames>
    <sheetDataSet>
      <sheetData sheetId="0"/>
      <sheetData sheetId="1"/>
      <sheetData sheetId="2">
        <row r="2">
          <cell r="B2">
            <v>4.8423379999999998</v>
          </cell>
          <cell r="C2">
            <v>13.391619</v>
          </cell>
          <cell r="E2">
            <v>67366.089642999999</v>
          </cell>
          <cell r="F2">
            <v>1.2719009999999999</v>
          </cell>
          <cell r="I2">
            <v>0.51698999999999995</v>
          </cell>
          <cell r="J2">
            <v>2.6090810000000002</v>
          </cell>
          <cell r="K2">
            <v>766.21786999999995</v>
          </cell>
          <cell r="L2">
            <v>1163.37355</v>
          </cell>
          <cell r="M2">
            <v>43.235996999999998</v>
          </cell>
          <cell r="N2">
            <v>477.58932199999998</v>
          </cell>
          <cell r="O2">
            <v>0.13572300000000001</v>
          </cell>
          <cell r="P2">
            <v>6.5745760000000004</v>
          </cell>
          <cell r="Q2">
            <v>0.33524500000000002</v>
          </cell>
          <cell r="R2">
            <v>1452.118669</v>
          </cell>
          <cell r="S2">
            <v>864.25365699999998</v>
          </cell>
          <cell r="T2">
            <v>0.51955499999999999</v>
          </cell>
        </row>
        <row r="3">
          <cell r="B3">
            <v>6.1625019999999999</v>
          </cell>
          <cell r="C3">
            <v>11.702797</v>
          </cell>
          <cell r="E3">
            <v>64945.667162999998</v>
          </cell>
          <cell r="F3">
            <v>1.144906</v>
          </cell>
          <cell r="I3">
            <v>0.47106799999999999</v>
          </cell>
          <cell r="J3">
            <v>4.9302219999999997</v>
          </cell>
          <cell r="K3">
            <v>746.31805399999996</v>
          </cell>
          <cell r="L3">
            <v>1170.7209439999999</v>
          </cell>
          <cell r="M3">
            <v>38.810744999999997</v>
          </cell>
          <cell r="N3">
            <v>523.47068200000001</v>
          </cell>
          <cell r="O3">
            <v>0.36052699999999999</v>
          </cell>
          <cell r="P3">
            <v>5.3174469999999996</v>
          </cell>
          <cell r="Q3">
            <v>0.23280899999999999</v>
          </cell>
          <cell r="R3">
            <v>1404.0487619999999</v>
          </cell>
          <cell r="S3">
            <v>829.94097899999997</v>
          </cell>
          <cell r="T3">
            <v>0.38568000000000002</v>
          </cell>
        </row>
        <row r="4">
          <cell r="B4">
            <v>6.3218189999999996</v>
          </cell>
          <cell r="C4">
            <v>13.924666</v>
          </cell>
          <cell r="E4">
            <v>70774.749754000004</v>
          </cell>
          <cell r="F4">
            <v>1.2891280000000001</v>
          </cell>
          <cell r="I4">
            <v>0.33876099999999998</v>
          </cell>
          <cell r="J4">
            <v>1.8237570000000001</v>
          </cell>
          <cell r="K4">
            <v>390.08274</v>
          </cell>
          <cell r="L4">
            <v>1243.996991</v>
          </cell>
          <cell r="M4">
            <v>47.040444000000001</v>
          </cell>
          <cell r="N4">
            <v>780.65150700000004</v>
          </cell>
          <cell r="O4">
            <v>0.23836099999999999</v>
          </cell>
          <cell r="P4">
            <v>6.832147</v>
          </cell>
          <cell r="Q4">
            <v>0.246589</v>
          </cell>
          <cell r="R4">
            <v>1442.3421860000001</v>
          </cell>
          <cell r="S4">
            <v>866.51622999999995</v>
          </cell>
          <cell r="T4">
            <v>0.37690200000000001</v>
          </cell>
        </row>
        <row r="5">
          <cell r="B5">
            <v>8.8171630000000007</v>
          </cell>
          <cell r="C5">
            <v>15.073848</v>
          </cell>
          <cell r="D5">
            <v>8.9151999999999995E-2</v>
          </cell>
          <cell r="E5">
            <v>70511.841100000005</v>
          </cell>
          <cell r="F5">
            <v>1.408836</v>
          </cell>
          <cell r="I5">
            <v>0.80659499999999995</v>
          </cell>
          <cell r="J5">
            <v>2.5971479999999998</v>
          </cell>
          <cell r="K5">
            <v>630.02164500000003</v>
          </cell>
          <cell r="L5">
            <v>1300.2291829999999</v>
          </cell>
          <cell r="M5">
            <v>101.60427799999999</v>
          </cell>
          <cell r="N5">
            <v>718.23274800000002</v>
          </cell>
          <cell r="O5">
            <v>0.21010899999999999</v>
          </cell>
          <cell r="P5">
            <v>4.0616250000000003</v>
          </cell>
          <cell r="Q5">
            <v>0.65304300000000004</v>
          </cell>
          <cell r="R5">
            <v>1647.3134709999999</v>
          </cell>
          <cell r="S5">
            <v>960.91163700000004</v>
          </cell>
          <cell r="T5">
            <v>0.93417399999999995</v>
          </cell>
        </row>
        <row r="6">
          <cell r="B6">
            <v>6.3151460000000004</v>
          </cell>
          <cell r="C6">
            <v>10.800345999999999</v>
          </cell>
          <cell r="E6">
            <v>59636.252483999997</v>
          </cell>
          <cell r="F6">
            <v>1.0670949999999999</v>
          </cell>
          <cell r="I6">
            <v>0.488257</v>
          </cell>
          <cell r="J6">
            <v>4.9172140000000004</v>
          </cell>
          <cell r="K6">
            <v>490.97763500000002</v>
          </cell>
          <cell r="L6">
            <v>1097.050283</v>
          </cell>
          <cell r="M6">
            <v>52.687350000000002</v>
          </cell>
          <cell r="N6">
            <v>477.55871400000001</v>
          </cell>
          <cell r="O6">
            <v>0.24479100000000001</v>
          </cell>
          <cell r="P6">
            <v>3.5712470000000001</v>
          </cell>
          <cell r="Q6">
            <v>0.350298</v>
          </cell>
          <cell r="R6">
            <v>1280.044832</v>
          </cell>
          <cell r="S6">
            <v>798.30862500000001</v>
          </cell>
          <cell r="T6">
            <v>0.54358300000000004</v>
          </cell>
        </row>
        <row r="7">
          <cell r="B7">
            <v>5.7894740000000002</v>
          </cell>
          <cell r="C7">
            <v>12.301534999999999</v>
          </cell>
          <cell r="E7">
            <v>61096.491227999999</v>
          </cell>
          <cell r="F7">
            <v>1.130592</v>
          </cell>
          <cell r="I7">
            <v>0.69758799999999999</v>
          </cell>
          <cell r="J7">
            <v>1.683333</v>
          </cell>
          <cell r="K7">
            <v>742.434211</v>
          </cell>
          <cell r="L7">
            <v>1130.153509</v>
          </cell>
          <cell r="M7">
            <v>55.756579000000002</v>
          </cell>
          <cell r="N7">
            <v>431.25</v>
          </cell>
          <cell r="O7">
            <v>0.23905699999999999</v>
          </cell>
          <cell r="P7">
            <v>3.2026319999999999</v>
          </cell>
          <cell r="Q7">
            <v>0.38733600000000001</v>
          </cell>
          <cell r="R7">
            <v>1383.6622809999999</v>
          </cell>
          <cell r="S7">
            <v>825.10964899999999</v>
          </cell>
          <cell r="T7">
            <v>0.75328899999999999</v>
          </cell>
        </row>
        <row r="8">
          <cell r="B8">
            <v>34.528950999999999</v>
          </cell>
          <cell r="C8">
            <v>0.50863599999999998</v>
          </cell>
          <cell r="D8">
            <v>28.328354000000001</v>
          </cell>
          <cell r="E8">
            <v>1911.9647179999999</v>
          </cell>
          <cell r="F8">
            <v>8.8650000000000007E-2</v>
          </cell>
          <cell r="G8">
            <v>7.9259999999999997E-2</v>
          </cell>
          <cell r="H8">
            <v>7.5902999999999998E-2</v>
          </cell>
          <cell r="I8">
            <v>0.66820299999999999</v>
          </cell>
          <cell r="J8">
            <v>11.529377999999999</v>
          </cell>
          <cell r="K8">
            <v>259.70123799999999</v>
          </cell>
          <cell r="L8">
            <v>399.71546499999999</v>
          </cell>
          <cell r="M8">
            <v>22.546593000000001</v>
          </cell>
          <cell r="N8">
            <v>572.48541799999998</v>
          </cell>
          <cell r="O8">
            <v>0.50510699999999997</v>
          </cell>
          <cell r="P8">
            <v>360.33575200000001</v>
          </cell>
          <cell r="Q8">
            <v>0.14461499999999999</v>
          </cell>
          <cell r="R8">
            <v>69.039693</v>
          </cell>
          <cell r="S8">
            <v>21.790866000000001</v>
          </cell>
          <cell r="T8">
            <v>1.224299</v>
          </cell>
        </row>
        <row r="9">
          <cell r="B9">
            <v>34.176245000000002</v>
          </cell>
          <cell r="C9">
            <v>0.27905200000000002</v>
          </cell>
          <cell r="D9">
            <v>28.548886</v>
          </cell>
          <cell r="E9">
            <v>1746.672343</v>
          </cell>
          <cell r="F9">
            <v>8.4279999999999994E-2</v>
          </cell>
          <cell r="G9">
            <v>6.3630000000000006E-2</v>
          </cell>
          <cell r="H9">
            <v>7.3768E-2</v>
          </cell>
          <cell r="I9">
            <v>0.555697</v>
          </cell>
          <cell r="J9">
            <v>9.9650920000000003</v>
          </cell>
          <cell r="K9">
            <v>431.68440500000003</v>
          </cell>
          <cell r="L9">
            <v>373.49226599999997</v>
          </cell>
          <cell r="M9">
            <v>20.565915</v>
          </cell>
          <cell r="N9">
            <v>512.10444199999995</v>
          </cell>
          <cell r="O9">
            <v>0.42310199999999998</v>
          </cell>
          <cell r="P9">
            <v>354.64736799999997</v>
          </cell>
          <cell r="Q9">
            <v>9.7151000000000001E-2</v>
          </cell>
          <cell r="R9">
            <v>65.537108000000003</v>
          </cell>
          <cell r="S9">
            <v>20.194693000000001</v>
          </cell>
          <cell r="T9">
            <v>1.067688</v>
          </cell>
        </row>
        <row r="10">
          <cell r="B10">
            <v>30.373052000000001</v>
          </cell>
          <cell r="C10">
            <v>0.336866</v>
          </cell>
          <cell r="D10">
            <v>26.092824</v>
          </cell>
          <cell r="E10">
            <v>1778.3629579999999</v>
          </cell>
          <cell r="F10">
            <v>6.2650999999999998E-2</v>
          </cell>
          <cell r="G10">
            <v>6.0331000000000003E-2</v>
          </cell>
          <cell r="H10">
            <v>0.14061899999999999</v>
          </cell>
          <cell r="I10">
            <v>0.48946699999999999</v>
          </cell>
          <cell r="J10">
            <v>7.6376999999999997</v>
          </cell>
          <cell r="K10">
            <v>686.52622299999996</v>
          </cell>
          <cell r="L10">
            <v>356.04564399999998</v>
          </cell>
          <cell r="M10">
            <v>18.553872999999999</v>
          </cell>
          <cell r="N10">
            <v>307.54882600000002</v>
          </cell>
          <cell r="O10">
            <v>0.38698700000000003</v>
          </cell>
          <cell r="P10">
            <v>363.06780800000001</v>
          </cell>
          <cell r="Q10">
            <v>8.4762000000000004E-2</v>
          </cell>
          <cell r="R10">
            <v>43.877550999999997</v>
          </cell>
          <cell r="S10">
            <v>17.850560000000002</v>
          </cell>
          <cell r="T10">
            <v>1.1180600000000001</v>
          </cell>
        </row>
        <row r="11">
          <cell r="B11">
            <v>25.241828999999999</v>
          </cell>
          <cell r="C11">
            <v>5.6441999999999999E-2</v>
          </cell>
          <cell r="D11">
            <v>20.345431999999999</v>
          </cell>
          <cell r="E11">
            <v>2003.2872580000001</v>
          </cell>
          <cell r="F11">
            <v>4.3369999999999999E-2</v>
          </cell>
          <cell r="G11">
            <v>8.0888000000000002E-2</v>
          </cell>
          <cell r="H11">
            <v>0.21388699999999999</v>
          </cell>
          <cell r="I11">
            <v>0.42184700000000003</v>
          </cell>
          <cell r="J11">
            <v>9.7744730000000004</v>
          </cell>
          <cell r="K11">
            <v>522.68800699999997</v>
          </cell>
          <cell r="L11">
            <v>460.86277000000001</v>
          </cell>
          <cell r="M11">
            <v>36.666397000000003</v>
          </cell>
          <cell r="N11">
            <v>362.13725599999998</v>
          </cell>
          <cell r="O11">
            <v>0.32770199999999999</v>
          </cell>
          <cell r="P11">
            <v>374.85517199999998</v>
          </cell>
          <cell r="Q11">
            <v>5.1110999999999997E-2</v>
          </cell>
          <cell r="R11">
            <v>50.505214000000002</v>
          </cell>
          <cell r="S11">
            <v>15.672136</v>
          </cell>
          <cell r="T11">
            <v>1.8492710000000001</v>
          </cell>
        </row>
        <row r="12">
          <cell r="B12">
            <v>12.273516000000001</v>
          </cell>
          <cell r="C12">
            <v>1.7170999999999999E-2</v>
          </cell>
          <cell r="D12">
            <v>29.945620999999999</v>
          </cell>
          <cell r="E12">
            <v>5020.2475990000003</v>
          </cell>
          <cell r="F12">
            <v>4.8780999999999998E-2</v>
          </cell>
          <cell r="G12">
            <v>5.2589999999999998E-3</v>
          </cell>
          <cell r="I12">
            <v>0.44452199999999997</v>
          </cell>
          <cell r="J12">
            <v>5.8139529999999997</v>
          </cell>
          <cell r="K12">
            <v>630.20941800000003</v>
          </cell>
          <cell r="L12">
            <v>605.57676700000002</v>
          </cell>
          <cell r="M12">
            <v>30.149253999999999</v>
          </cell>
          <cell r="N12">
            <v>395.117436</v>
          </cell>
          <cell r="O12">
            <v>0.48050399999999999</v>
          </cell>
          <cell r="P12">
            <v>268.957538</v>
          </cell>
          <cell r="Q12">
            <v>0.12600900000000001</v>
          </cell>
          <cell r="R12">
            <v>50.688417999999999</v>
          </cell>
          <cell r="S12">
            <v>25.749161000000001</v>
          </cell>
          <cell r="T12">
            <v>2.4666199999999998</v>
          </cell>
        </row>
        <row r="13">
          <cell r="B13">
            <v>26.785316000000002</v>
          </cell>
          <cell r="C13">
            <v>0.14838799999999999</v>
          </cell>
          <cell r="D13">
            <v>21.450807999999999</v>
          </cell>
          <cell r="E13">
            <v>2180.2055799999998</v>
          </cell>
          <cell r="F13">
            <v>5.6246999999999998E-2</v>
          </cell>
          <cell r="G13">
            <v>9.2605000000000007E-2</v>
          </cell>
          <cell r="I13">
            <v>0.54625599999999996</v>
          </cell>
          <cell r="J13">
            <v>9.8302499999999995</v>
          </cell>
          <cell r="K13">
            <v>557.86196800000005</v>
          </cell>
          <cell r="L13">
            <v>495.741557</v>
          </cell>
          <cell r="M13">
            <v>36.323053999999999</v>
          </cell>
          <cell r="N13">
            <v>478.00293699999997</v>
          </cell>
          <cell r="O13">
            <v>0.58220300000000003</v>
          </cell>
          <cell r="P13">
            <v>408.81057299999998</v>
          </cell>
          <cell r="Q13">
            <v>0.225938</v>
          </cell>
          <cell r="R13">
            <v>70.942730999999995</v>
          </cell>
          <cell r="S13">
            <v>16.587371999999998</v>
          </cell>
          <cell r="T13">
            <v>2.2275480000000001</v>
          </cell>
        </row>
        <row r="14">
          <cell r="B14">
            <v>31.746963000000001</v>
          </cell>
          <cell r="C14">
            <v>0.18241499999999999</v>
          </cell>
          <cell r="D14">
            <v>25.766175</v>
          </cell>
          <cell r="E14">
            <v>1580.406248</v>
          </cell>
          <cell r="F14">
            <v>5.5291E-2</v>
          </cell>
          <cell r="G14">
            <v>7.4180999999999997E-2</v>
          </cell>
          <cell r="I14">
            <v>0.751583</v>
          </cell>
          <cell r="J14">
            <v>8.1484199999999998</v>
          </cell>
          <cell r="K14">
            <v>437.148933</v>
          </cell>
          <cell r="L14">
            <v>393.24387100000001</v>
          </cell>
          <cell r="M14">
            <v>19.834274000000001</v>
          </cell>
          <cell r="N14">
            <v>406.345482</v>
          </cell>
          <cell r="O14">
            <v>0.56757400000000002</v>
          </cell>
          <cell r="P14">
            <v>288.11811</v>
          </cell>
          <cell r="Q14">
            <v>0.149701</v>
          </cell>
          <cell r="R14">
            <v>47.977316999999999</v>
          </cell>
          <cell r="S14">
            <v>18.806189</v>
          </cell>
          <cell r="T14">
            <v>1.127227</v>
          </cell>
        </row>
        <row r="15">
          <cell r="B15">
            <v>26.026494</v>
          </cell>
          <cell r="C15">
            <v>0.23100499999999999</v>
          </cell>
          <cell r="D15">
            <v>22.030372</v>
          </cell>
          <cell r="E15">
            <v>1341.2600970000001</v>
          </cell>
          <cell r="F15">
            <v>6.2508999999999995E-2</v>
          </cell>
          <cell r="G15">
            <v>5.5426999999999997E-2</v>
          </cell>
          <cell r="I15">
            <v>1.0838989999999999</v>
          </cell>
          <cell r="J15">
            <v>5.6409260000000003</v>
          </cell>
          <cell r="K15">
            <v>804.65266599999995</v>
          </cell>
          <cell r="L15">
            <v>329.21917100000002</v>
          </cell>
          <cell r="M15">
            <v>17.291546</v>
          </cell>
          <cell r="N15">
            <v>372.64404999999999</v>
          </cell>
          <cell r="O15">
            <v>0.59735099999999997</v>
          </cell>
          <cell r="P15">
            <v>268.73451799999998</v>
          </cell>
          <cell r="Q15">
            <v>0.290964</v>
          </cell>
          <cell r="R15">
            <v>45.001615999999999</v>
          </cell>
          <cell r="S15">
            <v>16.164567000000002</v>
          </cell>
          <cell r="T15">
            <v>1.455681</v>
          </cell>
        </row>
        <row r="16">
          <cell r="B16">
            <v>54.881008000000001</v>
          </cell>
          <cell r="C16">
            <v>0.20451900000000001</v>
          </cell>
          <cell r="D16">
            <v>25.31401</v>
          </cell>
          <cell r="E16">
            <v>1506.8901800000001</v>
          </cell>
          <cell r="F16">
            <v>5.6208000000000001E-2</v>
          </cell>
          <cell r="G16">
            <v>5.6623E-2</v>
          </cell>
          <cell r="H16">
            <v>1.7059000000000001E-2</v>
          </cell>
          <cell r="I16">
            <v>0.59253299999999998</v>
          </cell>
          <cell r="J16">
            <v>22.393197000000001</v>
          </cell>
          <cell r="K16">
            <v>455.68245100000001</v>
          </cell>
          <cell r="L16">
            <v>360.29297200000002</v>
          </cell>
          <cell r="M16">
            <v>17.215876999999999</v>
          </cell>
          <cell r="N16">
            <v>393.15211799999997</v>
          </cell>
          <cell r="O16">
            <v>0.58790299999999995</v>
          </cell>
          <cell r="P16">
            <v>283.62162999999998</v>
          </cell>
          <cell r="Q16">
            <v>0.193326</v>
          </cell>
          <cell r="R16">
            <v>47.374161999999998</v>
          </cell>
          <cell r="S16">
            <v>17.420691000000001</v>
          </cell>
          <cell r="T16">
            <v>1.4758119999999999</v>
          </cell>
        </row>
        <row r="17">
          <cell r="B17">
            <v>13.987997999999999</v>
          </cell>
          <cell r="C17">
            <v>8.1802E-2</v>
          </cell>
          <cell r="D17">
            <v>25.655574000000001</v>
          </cell>
          <cell r="E17">
            <v>2830.7484479999998</v>
          </cell>
          <cell r="F17">
            <v>4.2200000000000001E-2</v>
          </cell>
          <cell r="G17">
            <v>5.1947E-2</v>
          </cell>
          <cell r="I17">
            <v>0.531837</v>
          </cell>
          <cell r="J17">
            <v>6.2827010000000003</v>
          </cell>
          <cell r="K17">
            <v>632.79037700000003</v>
          </cell>
          <cell r="L17">
            <v>635.44020999999998</v>
          </cell>
          <cell r="M17">
            <v>61.039670000000001</v>
          </cell>
          <cell r="N17">
            <v>368.06692099999998</v>
          </cell>
          <cell r="O17">
            <v>0.33564500000000003</v>
          </cell>
          <cell r="P17">
            <v>524.25116300000002</v>
          </cell>
          <cell r="Q17">
            <v>0.21058399999999999</v>
          </cell>
          <cell r="R17">
            <v>48.663392999999999</v>
          </cell>
          <cell r="S17">
            <v>17.984569</v>
          </cell>
          <cell r="T17">
            <v>3.3387889999999998</v>
          </cell>
        </row>
        <row r="18">
          <cell r="B18">
            <v>16.759080000000001</v>
          </cell>
          <cell r="C18">
            <v>0.13516500000000001</v>
          </cell>
          <cell r="D18">
            <v>27.137440000000002</v>
          </cell>
          <cell r="E18">
            <v>3342.1533100000001</v>
          </cell>
          <cell r="F18">
            <v>6.0728999999999998E-2</v>
          </cell>
          <cell r="G18">
            <v>3.5441E-2</v>
          </cell>
          <cell r="I18">
            <v>1.0599700000000001</v>
          </cell>
          <cell r="J18">
            <v>7.6143929999999997</v>
          </cell>
          <cell r="K18">
            <v>852.67267800000002</v>
          </cell>
          <cell r="L18">
            <v>623.577989</v>
          </cell>
          <cell r="M18">
            <v>51.245752000000003</v>
          </cell>
          <cell r="N18">
            <v>446.72902399999998</v>
          </cell>
          <cell r="O18">
            <v>0.37908999999999998</v>
          </cell>
          <cell r="P18">
            <v>550.32162000000005</v>
          </cell>
          <cell r="Q18">
            <v>0.44283</v>
          </cell>
          <cell r="R18">
            <v>61.818488000000002</v>
          </cell>
          <cell r="S18">
            <v>20.134266</v>
          </cell>
          <cell r="T18">
            <v>4.3661690000000002</v>
          </cell>
        </row>
        <row r="19">
          <cell r="B19">
            <v>17.952893</v>
          </cell>
          <cell r="C19">
            <v>0.14426900000000001</v>
          </cell>
          <cell r="D19">
            <v>26.101161000000001</v>
          </cell>
          <cell r="E19">
            <v>2757.6250949999999</v>
          </cell>
          <cell r="F19">
            <v>5.7668999999999998E-2</v>
          </cell>
          <cell r="G19">
            <v>7.7890000000000001E-2</v>
          </cell>
          <cell r="I19">
            <v>0.53424499999999997</v>
          </cell>
          <cell r="J19">
            <v>7.300554</v>
          </cell>
          <cell r="K19">
            <v>733.96287900000004</v>
          </cell>
          <cell r="L19">
            <v>610.11613999999997</v>
          </cell>
          <cell r="M19">
            <v>51.991751000000001</v>
          </cell>
          <cell r="N19">
            <v>323.868447</v>
          </cell>
          <cell r="O19">
            <v>0.32233800000000001</v>
          </cell>
          <cell r="P19">
            <v>554.75957900000003</v>
          </cell>
          <cell r="Q19">
            <v>0.21260200000000001</v>
          </cell>
          <cell r="R19">
            <v>45.728861000000002</v>
          </cell>
          <cell r="S19">
            <v>18.076630999999999</v>
          </cell>
          <cell r="T19">
            <v>3.698035</v>
          </cell>
        </row>
        <row r="20">
          <cell r="B20">
            <v>35.901344999999999</v>
          </cell>
          <cell r="C20">
            <v>20.721323999999999</v>
          </cell>
          <cell r="D20">
            <v>5.1880769999999998</v>
          </cell>
          <cell r="E20">
            <v>4754.2913799999997</v>
          </cell>
          <cell r="F20">
            <v>6.8414200000000003</v>
          </cell>
          <cell r="G20">
            <v>2.5059179999999999</v>
          </cell>
          <cell r="I20">
            <v>7801.945839</v>
          </cell>
          <cell r="J20">
            <v>2.311086</v>
          </cell>
          <cell r="K20">
            <v>532.34182299999998</v>
          </cell>
          <cell r="L20">
            <v>1190.6798040000001</v>
          </cell>
          <cell r="M20">
            <v>126.281217</v>
          </cell>
          <cell r="N20">
            <v>492.03693399999997</v>
          </cell>
          <cell r="O20">
            <v>6.0692820000000003</v>
          </cell>
          <cell r="Q20">
            <v>34.735081000000001</v>
          </cell>
          <cell r="R20">
            <v>402.18132200000002</v>
          </cell>
          <cell r="S20">
            <v>9.8060360000000006</v>
          </cell>
          <cell r="T20">
            <v>498.853566</v>
          </cell>
        </row>
        <row r="21">
          <cell r="B21">
            <v>32.02713</v>
          </cell>
          <cell r="C21">
            <v>4.4670529999999999</v>
          </cell>
          <cell r="D21">
            <v>5.9241070000000002</v>
          </cell>
          <cell r="E21">
            <v>4507.9810559999996</v>
          </cell>
          <cell r="F21">
            <v>4.8646440000000002</v>
          </cell>
          <cell r="G21">
            <v>1.958604</v>
          </cell>
          <cell r="I21">
            <v>3371.6891770000002</v>
          </cell>
          <cell r="J21">
            <v>1.3352040000000001</v>
          </cell>
          <cell r="L21">
            <v>1274.6301820000001</v>
          </cell>
          <cell r="M21">
            <v>131.74296899999999</v>
          </cell>
          <cell r="N21">
            <v>456.64503300000001</v>
          </cell>
          <cell r="O21">
            <v>5.1897330000000004</v>
          </cell>
          <cell r="Q21">
            <v>28.290942999999999</v>
          </cell>
          <cell r="R21">
            <v>234.450096</v>
          </cell>
          <cell r="S21">
            <v>8.3540899999999993</v>
          </cell>
          <cell r="T21">
            <v>489.97251899999998</v>
          </cell>
        </row>
        <row r="22">
          <cell r="B22">
            <v>30.526143999999999</v>
          </cell>
          <cell r="C22">
            <v>17.921486000000002</v>
          </cell>
          <cell r="D22">
            <v>5.315741</v>
          </cell>
          <cell r="E22">
            <v>8633.3279039999998</v>
          </cell>
          <cell r="F22">
            <v>5.9390780000000003</v>
          </cell>
          <cell r="G22">
            <v>2.008362</v>
          </cell>
          <cell r="I22">
            <v>3391.4318290000001</v>
          </cell>
          <cell r="J22">
            <v>1.992181</v>
          </cell>
          <cell r="K22">
            <v>510.90839999999997</v>
          </cell>
          <cell r="L22">
            <v>1277.2981480000001</v>
          </cell>
          <cell r="M22">
            <v>163.14274900000001</v>
          </cell>
          <cell r="N22">
            <v>325.53618899999998</v>
          </cell>
          <cell r="O22">
            <v>5.4677740000000004</v>
          </cell>
          <cell r="Q22">
            <v>46.000976999999999</v>
          </cell>
          <cell r="R22">
            <v>252.755606</v>
          </cell>
          <cell r="S22">
            <v>15.061085</v>
          </cell>
          <cell r="T22">
            <v>454.47141199999999</v>
          </cell>
        </row>
        <row r="23">
          <cell r="B23">
            <v>22.993034999999999</v>
          </cell>
          <cell r="C23">
            <v>1.074336</v>
          </cell>
          <cell r="D23">
            <v>9.6883029999999994</v>
          </cell>
          <cell r="E23">
            <v>12517.676968</v>
          </cell>
          <cell r="F23">
            <v>8.9595079999999996</v>
          </cell>
          <cell r="G23">
            <v>2.5842540000000001</v>
          </cell>
          <cell r="I23">
            <v>1647.3080689999999</v>
          </cell>
          <cell r="J23">
            <v>2.1036519999999999</v>
          </cell>
          <cell r="K23">
            <v>598.79240500000003</v>
          </cell>
          <cell r="L23">
            <v>3020.0471389999998</v>
          </cell>
          <cell r="M23">
            <v>185.36585400000001</v>
          </cell>
          <cell r="N23">
            <v>418.52705200000003</v>
          </cell>
          <cell r="O23">
            <v>9.3630990000000001</v>
          </cell>
          <cell r="Q23">
            <v>50.221128</v>
          </cell>
          <cell r="R23">
            <v>41.238315</v>
          </cell>
          <cell r="S23">
            <v>16.402107999999998</v>
          </cell>
          <cell r="T23">
            <v>741.50578599999994</v>
          </cell>
        </row>
        <row r="24">
          <cell r="B24">
            <v>23.649331</v>
          </cell>
          <cell r="C24">
            <v>1.0839540000000001</v>
          </cell>
          <cell r="D24">
            <v>10.214494</v>
          </cell>
          <cell r="E24">
            <v>11639.821567000001</v>
          </cell>
          <cell r="F24">
            <v>8.8286990000000003</v>
          </cell>
          <cell r="G24">
            <v>2.585677</v>
          </cell>
          <cell r="I24">
            <v>1507.3857410000001</v>
          </cell>
          <cell r="J24">
            <v>2.775757</v>
          </cell>
          <cell r="K24">
            <v>369.67705699999999</v>
          </cell>
          <cell r="L24">
            <v>2830.461843</v>
          </cell>
          <cell r="M24">
            <v>182.097925</v>
          </cell>
          <cell r="N24">
            <v>503.13860599999998</v>
          </cell>
          <cell r="O24">
            <v>9.1823599999999992</v>
          </cell>
          <cell r="Q24">
            <v>48.241045</v>
          </cell>
          <cell r="R24">
            <v>52.044769000000002</v>
          </cell>
          <cell r="S24">
            <v>16.347463999999999</v>
          </cell>
          <cell r="T24">
            <v>784.03718200000003</v>
          </cell>
        </row>
        <row r="25">
          <cell r="B25">
            <v>28.048196000000001</v>
          </cell>
          <cell r="C25">
            <v>1.159489</v>
          </cell>
          <cell r="D25">
            <v>9.9693470000000008</v>
          </cell>
          <cell r="E25">
            <v>11868.038484000001</v>
          </cell>
          <cell r="F25">
            <v>9.026071</v>
          </cell>
          <cell r="G25">
            <v>4.1458009999999996</v>
          </cell>
          <cell r="I25">
            <v>3252.4204070000001</v>
          </cell>
          <cell r="J25">
            <v>2.3114509999999999</v>
          </cell>
          <cell r="K25">
            <v>687.79022099999997</v>
          </cell>
          <cell r="L25">
            <v>3696.2578530000001</v>
          </cell>
          <cell r="M25">
            <v>218.61664999999999</v>
          </cell>
          <cell r="N25">
            <v>490.33354600000001</v>
          </cell>
          <cell r="O25">
            <v>8.7881269999999994</v>
          </cell>
          <cell r="Q25">
            <v>72.281405000000007</v>
          </cell>
          <cell r="R25">
            <v>55.224741000000002</v>
          </cell>
          <cell r="S25">
            <v>15.165255</v>
          </cell>
          <cell r="T25">
            <v>817.74864200000002</v>
          </cell>
        </row>
        <row r="26">
          <cell r="B26">
            <v>125.40904500000001</v>
          </cell>
          <cell r="C26">
            <v>8.8502999999999998E-2</v>
          </cell>
          <cell r="D26">
            <v>118.47805099999999</v>
          </cell>
          <cell r="E26">
            <v>2845.5701789999998</v>
          </cell>
          <cell r="F26">
            <v>1.4239440000000001</v>
          </cell>
          <cell r="G26">
            <v>2.6998999999999999E-2</v>
          </cell>
          <cell r="H26">
            <v>4.1502999999999998E-2</v>
          </cell>
          <cell r="I26">
            <v>3.0827469999999999</v>
          </cell>
          <cell r="J26">
            <v>1.538173</v>
          </cell>
          <cell r="K26">
            <v>429.43464899999998</v>
          </cell>
          <cell r="L26">
            <v>187.015424</v>
          </cell>
          <cell r="M26">
            <v>58.593384</v>
          </cell>
          <cell r="N26">
            <v>501.17264</v>
          </cell>
          <cell r="O26">
            <v>2.0808430000000002</v>
          </cell>
          <cell r="P26">
            <v>34.654967999999997</v>
          </cell>
          <cell r="Q26">
            <v>19.51163</v>
          </cell>
          <cell r="R26">
            <v>41.619070999999998</v>
          </cell>
          <cell r="S26">
            <v>17.848412</v>
          </cell>
          <cell r="T26">
            <v>127.55014799999999</v>
          </cell>
        </row>
        <row r="27">
          <cell r="B27">
            <v>120.95309</v>
          </cell>
          <cell r="C27">
            <v>2.2130000000000001E-3</v>
          </cell>
          <cell r="D27">
            <v>127.2276</v>
          </cell>
          <cell r="E27">
            <v>2940.680069</v>
          </cell>
          <cell r="F27">
            <v>1.470737</v>
          </cell>
          <cell r="G27">
            <v>1.9406E-2</v>
          </cell>
          <cell r="H27">
            <v>6.1593000000000002E-2</v>
          </cell>
          <cell r="I27">
            <v>1.83172</v>
          </cell>
          <cell r="J27">
            <v>4.5490199999999996</v>
          </cell>
          <cell r="K27">
            <v>218.674609</v>
          </cell>
          <cell r="L27">
            <v>182.06999300000001</v>
          </cell>
          <cell r="M27">
            <v>63.360635000000002</v>
          </cell>
          <cell r="N27">
            <v>465.92206499999998</v>
          </cell>
          <cell r="O27">
            <v>0.61236000000000002</v>
          </cell>
          <cell r="P27">
            <v>31.273268999999999</v>
          </cell>
          <cell r="Q27">
            <v>19.122363</v>
          </cell>
          <cell r="R27">
            <v>32.534128000000003</v>
          </cell>
          <cell r="S27">
            <v>18.962522</v>
          </cell>
          <cell r="T27">
            <v>132.93621200000001</v>
          </cell>
        </row>
        <row r="28">
          <cell r="B28">
            <v>155.22919400000001</v>
          </cell>
          <cell r="D28">
            <v>132.812003</v>
          </cell>
          <cell r="E28">
            <v>2830.5677409999998</v>
          </cell>
          <cell r="F28">
            <v>1.61269</v>
          </cell>
          <cell r="G28">
            <v>0.174925</v>
          </cell>
          <cell r="I28">
            <v>2.668193</v>
          </cell>
          <cell r="J28">
            <v>3.411279</v>
          </cell>
          <cell r="K28">
            <v>330.38336800000002</v>
          </cell>
          <cell r="L28">
            <v>173.488461</v>
          </cell>
          <cell r="M28">
            <v>108.805391</v>
          </cell>
          <cell r="N28">
            <v>389.80227600000001</v>
          </cell>
          <cell r="O28">
            <v>0.72350400000000004</v>
          </cell>
          <cell r="P28">
            <v>38.246550999999997</v>
          </cell>
          <cell r="Q28">
            <v>26.226714999999999</v>
          </cell>
          <cell r="R28">
            <v>32.049081000000001</v>
          </cell>
          <cell r="S28">
            <v>17.275096999999999</v>
          </cell>
          <cell r="T28">
            <v>170.91995700000001</v>
          </cell>
        </row>
        <row r="29">
          <cell r="B29">
            <v>138.61420000000001</v>
          </cell>
          <cell r="D29">
            <v>140.45052799999999</v>
          </cell>
          <cell r="E29">
            <v>3002.908469</v>
          </cell>
          <cell r="F29">
            <v>1.562703</v>
          </cell>
          <cell r="G29">
            <v>1.5671999999999998E-2</v>
          </cell>
          <cell r="H29">
            <v>3.8581999999999998E-2</v>
          </cell>
          <cell r="I29">
            <v>2.0404900000000001</v>
          </cell>
          <cell r="J29">
            <v>2.2333620000000001</v>
          </cell>
          <cell r="K29">
            <v>429.35842600000001</v>
          </cell>
          <cell r="L29">
            <v>165.394924</v>
          </cell>
          <cell r="M29">
            <v>73.795266999999996</v>
          </cell>
          <cell r="N29">
            <v>355.74565200000001</v>
          </cell>
          <cell r="O29">
            <v>0.813801</v>
          </cell>
          <cell r="P29">
            <v>44.242942999999997</v>
          </cell>
          <cell r="Q29">
            <v>20.986598000000001</v>
          </cell>
          <cell r="R29">
            <v>22.790989</v>
          </cell>
          <cell r="S29">
            <v>21.56373</v>
          </cell>
          <cell r="T29">
            <v>140.895352</v>
          </cell>
        </row>
        <row r="30">
          <cell r="B30">
            <v>86.588966999999997</v>
          </cell>
          <cell r="D30">
            <v>105.521146</v>
          </cell>
          <cell r="E30">
            <v>2544.1225439999998</v>
          </cell>
          <cell r="F30">
            <v>1.2269509999999999</v>
          </cell>
          <cell r="H30">
            <v>7.5630000000000003E-3</v>
          </cell>
          <cell r="I30">
            <v>1.2641579999999999</v>
          </cell>
          <cell r="J30">
            <v>1.629659</v>
          </cell>
          <cell r="L30">
            <v>165.53224599999999</v>
          </cell>
          <cell r="M30">
            <v>56.325896</v>
          </cell>
          <cell r="N30">
            <v>372.960373</v>
          </cell>
          <cell r="O30">
            <v>0.54585399999999995</v>
          </cell>
          <cell r="P30">
            <v>31.932511999999999</v>
          </cell>
          <cell r="Q30">
            <v>13.600622</v>
          </cell>
          <cell r="R30">
            <v>34.818514999999998</v>
          </cell>
          <cell r="S30">
            <v>17.800865999999999</v>
          </cell>
          <cell r="T30">
            <v>111.763792</v>
          </cell>
        </row>
        <row r="31">
          <cell r="B31">
            <v>141.88018600000001</v>
          </cell>
          <cell r="C31">
            <v>4.9384999999999998E-2</v>
          </cell>
          <cell r="D31">
            <v>135.92292</v>
          </cell>
          <cell r="E31">
            <v>3036.8681799999999</v>
          </cell>
          <cell r="F31">
            <v>1.563965</v>
          </cell>
          <cell r="G31">
            <v>2.8544E-2</v>
          </cell>
          <cell r="I31">
            <v>2.165648</v>
          </cell>
          <cell r="J31">
            <v>3.7541720000000001</v>
          </cell>
          <cell r="K31">
            <v>228.485456</v>
          </cell>
          <cell r="L31">
            <v>206.20649800000001</v>
          </cell>
          <cell r="M31">
            <v>86.732926000000006</v>
          </cell>
          <cell r="N31">
            <v>392.30418500000002</v>
          </cell>
          <cell r="O31">
            <v>0.85091600000000001</v>
          </cell>
          <cell r="P31">
            <v>44.813228000000002</v>
          </cell>
          <cell r="Q31">
            <v>21.893559</v>
          </cell>
          <cell r="R31">
            <v>24.374942999999998</v>
          </cell>
          <cell r="S31">
            <v>20.196346999999999</v>
          </cell>
          <cell r="T31">
            <v>135.92292</v>
          </cell>
        </row>
        <row r="32">
          <cell r="B32">
            <v>19.730172</v>
          </cell>
          <cell r="C32">
            <v>7.0448999999999998E-2</v>
          </cell>
          <cell r="D32">
            <v>11.905165</v>
          </cell>
          <cell r="E32">
            <v>1616.4832060000001</v>
          </cell>
          <cell r="F32">
            <v>8.5655999999999996E-2</v>
          </cell>
          <cell r="G32">
            <v>0.21893299999999999</v>
          </cell>
          <cell r="H32">
            <v>7.7359999999999998E-3</v>
          </cell>
          <cell r="I32">
            <v>0.952075</v>
          </cell>
          <cell r="J32">
            <v>7.1882590000000004</v>
          </cell>
          <cell r="K32">
            <v>471.26164299999999</v>
          </cell>
          <cell r="L32">
            <v>185.69573800000001</v>
          </cell>
          <cell r="M32">
            <v>62.523285000000001</v>
          </cell>
          <cell r="N32">
            <v>375.61388699999998</v>
          </cell>
          <cell r="O32">
            <v>0.73079300000000003</v>
          </cell>
          <cell r="P32">
            <v>43.398249999999997</v>
          </cell>
          <cell r="Q32">
            <v>0.47519099999999997</v>
          </cell>
          <cell r="R32">
            <v>52.723680000000002</v>
          </cell>
          <cell r="S32">
            <v>12.002257999999999</v>
          </cell>
          <cell r="T32">
            <v>6.455546</v>
          </cell>
        </row>
        <row r="33">
          <cell r="B33">
            <v>14.858897000000001</v>
          </cell>
          <cell r="C33">
            <v>0.151952</v>
          </cell>
          <cell r="D33">
            <v>11.213139999999999</v>
          </cell>
          <cell r="E33">
            <v>2023.590193</v>
          </cell>
          <cell r="F33">
            <v>7.0126999999999995E-2</v>
          </cell>
          <cell r="G33">
            <v>0.187503</v>
          </cell>
          <cell r="I33">
            <v>1.000926</v>
          </cell>
          <cell r="J33">
            <v>15.241020000000001</v>
          </cell>
          <cell r="K33">
            <v>884.14485500000001</v>
          </cell>
          <cell r="L33">
            <v>223.288005</v>
          </cell>
          <cell r="M33">
            <v>59.219183999999998</v>
          </cell>
          <cell r="N33">
            <v>530.58439299999998</v>
          </cell>
          <cell r="O33">
            <v>1.103183</v>
          </cell>
          <cell r="P33">
            <v>40.473753000000002</v>
          </cell>
          <cell r="Q33">
            <v>0.29696299999999998</v>
          </cell>
          <cell r="R33">
            <v>70.039479</v>
          </cell>
          <cell r="S33">
            <v>15.26149</v>
          </cell>
          <cell r="T33">
            <v>4.8311159999999997</v>
          </cell>
        </row>
        <row r="34">
          <cell r="B34">
            <v>20.409182000000001</v>
          </cell>
          <cell r="C34">
            <v>2.2662999999999999E-2</v>
          </cell>
          <cell r="D34">
            <v>12.68863</v>
          </cell>
          <cell r="E34">
            <v>1700.519282</v>
          </cell>
          <cell r="F34">
            <v>6.8205000000000002E-2</v>
          </cell>
          <cell r="G34">
            <v>0.21823400000000001</v>
          </cell>
          <cell r="H34">
            <v>2.7885E-2</v>
          </cell>
          <cell r="I34">
            <v>0.75139800000000001</v>
          </cell>
          <cell r="J34">
            <v>8.1484629999999996</v>
          </cell>
          <cell r="K34">
            <v>346.38063599999998</v>
          </cell>
          <cell r="L34">
            <v>197.25887499999999</v>
          </cell>
          <cell r="M34">
            <v>61.825713999999998</v>
          </cell>
          <cell r="N34">
            <v>324.97375199999999</v>
          </cell>
          <cell r="O34">
            <v>0.91189200000000004</v>
          </cell>
          <cell r="P34">
            <v>49.760221999999999</v>
          </cell>
          <cell r="Q34">
            <v>0.39443800000000001</v>
          </cell>
          <cell r="R34">
            <v>39.703754000000004</v>
          </cell>
          <cell r="S34">
            <v>12.70679</v>
          </cell>
          <cell r="T34">
            <v>5.6593169999999997</v>
          </cell>
        </row>
        <row r="35">
          <cell r="B35">
            <v>17.484966</v>
          </cell>
          <cell r="D35">
            <v>15.52765</v>
          </cell>
          <cell r="E35">
            <v>9772.4324959999994</v>
          </cell>
          <cell r="F35">
            <v>0.10956299999999999</v>
          </cell>
          <cell r="G35">
            <v>0.1104</v>
          </cell>
          <cell r="I35">
            <v>0.66183199999999998</v>
          </cell>
          <cell r="J35">
            <v>4.7293950000000002</v>
          </cell>
          <cell r="K35">
            <v>864.75651500000004</v>
          </cell>
          <cell r="L35">
            <v>357.31635399999999</v>
          </cell>
          <cell r="M35">
            <v>92.736705999999998</v>
          </cell>
          <cell r="N35">
            <v>421.29465900000002</v>
          </cell>
          <cell r="O35">
            <v>0.63612800000000003</v>
          </cell>
          <cell r="P35">
            <v>92.111778999999999</v>
          </cell>
          <cell r="Q35">
            <v>0.438639</v>
          </cell>
          <cell r="R35">
            <v>171.92547999999999</v>
          </cell>
          <cell r="S35">
            <v>31.429076999999999</v>
          </cell>
          <cell r="T35">
            <v>10.108478</v>
          </cell>
        </row>
        <row r="36">
          <cell r="B36">
            <v>23.715022000000001</v>
          </cell>
          <cell r="C36">
            <v>0.10333199999999999</v>
          </cell>
          <cell r="D36">
            <v>15.737603999999999</v>
          </cell>
          <cell r="E36">
            <v>8165.1939130000001</v>
          </cell>
          <cell r="F36">
            <v>0.11346299999999999</v>
          </cell>
          <cell r="G36">
            <v>0.17566300000000001</v>
          </cell>
          <cell r="I36">
            <v>0.59585200000000005</v>
          </cell>
          <cell r="J36">
            <v>5.1141379999999996</v>
          </cell>
          <cell r="K36">
            <v>956.799215</v>
          </cell>
          <cell r="L36">
            <v>352.68777599999999</v>
          </cell>
          <cell r="M36">
            <v>100.233186</v>
          </cell>
          <cell r="N36">
            <v>446.98085400000002</v>
          </cell>
          <cell r="O36">
            <v>0.65733900000000001</v>
          </cell>
          <cell r="P36">
            <v>89.715267999999995</v>
          </cell>
          <cell r="Q36">
            <v>0.36650700000000003</v>
          </cell>
          <cell r="R36">
            <v>227.62641099999999</v>
          </cell>
          <cell r="S36">
            <v>27.286451</v>
          </cell>
          <cell r="T36">
            <v>10.531419</v>
          </cell>
        </row>
        <row r="37">
          <cell r="B37">
            <v>26.908604</v>
          </cell>
          <cell r="C37">
            <v>7.6138999999999998E-2</v>
          </cell>
          <cell r="D37">
            <v>14.617464999999999</v>
          </cell>
          <cell r="E37">
            <v>10186.978394</v>
          </cell>
          <cell r="F37">
            <v>0.106127</v>
          </cell>
          <cell r="G37">
            <v>8.7202000000000002E-2</v>
          </cell>
          <cell r="I37">
            <v>0.88353800000000005</v>
          </cell>
          <cell r="J37">
            <v>4.5875130000000004</v>
          </cell>
          <cell r="K37">
            <v>702.60606600000006</v>
          </cell>
          <cell r="L37">
            <v>362.90674300000001</v>
          </cell>
          <cell r="M37">
            <v>77.827212000000003</v>
          </cell>
          <cell r="N37">
            <v>383.02945699999998</v>
          </cell>
          <cell r="O37">
            <v>0.94355800000000001</v>
          </cell>
          <cell r="P37">
            <v>118.572799</v>
          </cell>
          <cell r="Q37">
            <v>1.1951499999999999</v>
          </cell>
          <cell r="R37">
            <v>223.57149100000001</v>
          </cell>
          <cell r="S37">
            <v>29.186077000000001</v>
          </cell>
          <cell r="T37">
            <v>9.9043299999999999</v>
          </cell>
        </row>
        <row r="38">
          <cell r="B38">
            <v>4.3231760000000001</v>
          </cell>
          <cell r="D38">
            <v>11.793167</v>
          </cell>
          <cell r="E38">
            <v>59747.614651000004</v>
          </cell>
          <cell r="F38">
            <v>9.5155000000000003E-2</v>
          </cell>
          <cell r="G38">
            <v>7.8134999999999996E-2</v>
          </cell>
          <cell r="H38">
            <v>0.13303799999999999</v>
          </cell>
          <cell r="I38">
            <v>0.64426000000000005</v>
          </cell>
          <cell r="J38">
            <v>3.1911360000000002</v>
          </cell>
          <cell r="K38">
            <v>386.22345300000001</v>
          </cell>
          <cell r="L38">
            <v>847.39919999999995</v>
          </cell>
          <cell r="M38">
            <v>92.373037999999994</v>
          </cell>
          <cell r="N38">
            <v>547.98399500000005</v>
          </cell>
          <cell r="O38">
            <v>1.2938130000000001</v>
          </cell>
          <cell r="P38">
            <v>47.054478000000003</v>
          </cell>
          <cell r="Q38">
            <v>0.44337300000000002</v>
          </cell>
          <cell r="R38">
            <v>79.248999999999995</v>
          </cell>
          <cell r="S38">
            <v>59.329023999999997</v>
          </cell>
          <cell r="T38">
            <v>1.1642969999999999</v>
          </cell>
        </row>
        <row r="39">
          <cell r="B39">
            <v>0.381996</v>
          </cell>
          <cell r="D39">
            <v>11.820849000000001</v>
          </cell>
          <cell r="E39">
            <v>53778.442118999999</v>
          </cell>
          <cell r="F39">
            <v>8.7317000000000006E-2</v>
          </cell>
          <cell r="G39">
            <v>6.0274000000000001E-2</v>
          </cell>
          <cell r="I39">
            <v>0.70021599999999995</v>
          </cell>
          <cell r="J39">
            <v>1.5980730000000001</v>
          </cell>
          <cell r="K39">
            <v>389.49233199999998</v>
          </cell>
          <cell r="L39">
            <v>804.96041600000001</v>
          </cell>
          <cell r="M39">
            <v>84.138846999999998</v>
          </cell>
          <cell r="N39">
            <v>533.57692499999996</v>
          </cell>
          <cell r="O39">
            <v>0.35128199999999998</v>
          </cell>
          <cell r="P39">
            <v>46.371034999999999</v>
          </cell>
          <cell r="Q39">
            <v>0.30671500000000002</v>
          </cell>
          <cell r="R39">
            <v>76.919669999999996</v>
          </cell>
          <cell r="S39">
            <v>54.110613000000001</v>
          </cell>
          <cell r="T39">
            <v>1.1501969999999999</v>
          </cell>
        </row>
        <row r="40">
          <cell r="B40">
            <v>0.96806700000000001</v>
          </cell>
          <cell r="D40">
            <v>12.639900000000001</v>
          </cell>
          <cell r="E40">
            <v>61263.616558000002</v>
          </cell>
          <cell r="F40">
            <v>9.0744000000000005E-2</v>
          </cell>
          <cell r="G40">
            <v>3.7386000000000003E-2</v>
          </cell>
          <cell r="H40">
            <v>5.6769E-2</v>
          </cell>
          <cell r="I40">
            <v>0.56159400000000004</v>
          </cell>
          <cell r="J40">
            <v>1.1804539999999999</v>
          </cell>
          <cell r="K40">
            <v>1082.975412</v>
          </cell>
          <cell r="L40">
            <v>914.41020900000001</v>
          </cell>
          <cell r="M40">
            <v>96.520386000000002</v>
          </cell>
          <cell r="N40">
            <v>704.38842199999999</v>
          </cell>
          <cell r="O40">
            <v>0.68222799999999995</v>
          </cell>
          <cell r="P40">
            <v>47.245564999999999</v>
          </cell>
          <cell r="Q40">
            <v>0.22147500000000001</v>
          </cell>
          <cell r="R40">
            <v>104.400871</v>
          </cell>
          <cell r="S40">
            <v>62.433861999999998</v>
          </cell>
          <cell r="T40">
            <v>1.07812</v>
          </cell>
        </row>
        <row r="41">
          <cell r="B41">
            <v>1.098276</v>
          </cell>
          <cell r="D41">
            <v>17.611516000000002</v>
          </cell>
          <cell r="E41">
            <v>59783.188199999997</v>
          </cell>
          <cell r="F41">
            <v>0.10528999999999999</v>
          </cell>
          <cell r="G41">
            <v>1.6358000000000001E-2</v>
          </cell>
          <cell r="I41">
            <v>0.514069</v>
          </cell>
          <cell r="J41">
            <v>1.3199460000000001</v>
          </cell>
          <cell r="K41">
            <v>843.74148500000001</v>
          </cell>
          <cell r="L41">
            <v>1009.5373499999999</v>
          </cell>
          <cell r="M41">
            <v>68.692612999999994</v>
          </cell>
          <cell r="N41">
            <v>783.24743799999999</v>
          </cell>
          <cell r="O41">
            <v>0.53385499999999997</v>
          </cell>
          <cell r="P41">
            <v>57.792785000000002</v>
          </cell>
          <cell r="Q41">
            <v>0.32182899999999998</v>
          </cell>
          <cell r="R41">
            <v>140.47746000000001</v>
          </cell>
          <cell r="S41">
            <v>61.832830000000001</v>
          </cell>
          <cell r="T41">
            <v>0.62733300000000003</v>
          </cell>
        </row>
        <row r="42">
          <cell r="B42">
            <v>0.64597899999999997</v>
          </cell>
          <cell r="D42">
            <v>17.275986</v>
          </cell>
          <cell r="E42">
            <v>56328.405017999998</v>
          </cell>
          <cell r="F42">
            <v>8.5808999999999996E-2</v>
          </cell>
          <cell r="G42">
            <v>1.4862E-2</v>
          </cell>
          <cell r="H42">
            <v>1.3269E-2</v>
          </cell>
          <cell r="I42">
            <v>0.35580200000000001</v>
          </cell>
          <cell r="J42">
            <v>0.84218199999999999</v>
          </cell>
          <cell r="K42">
            <v>1072.3566310000001</v>
          </cell>
          <cell r="L42">
            <v>962.589606</v>
          </cell>
          <cell r="M42">
            <v>61.424731000000001</v>
          </cell>
          <cell r="N42">
            <v>643.81720399999995</v>
          </cell>
          <cell r="O42">
            <v>0.267148</v>
          </cell>
          <cell r="P42">
            <v>54.289875000000002</v>
          </cell>
          <cell r="Q42">
            <v>0.25962099999999999</v>
          </cell>
          <cell r="R42">
            <v>116.588262</v>
          </cell>
          <cell r="S42">
            <v>59.184587999999998</v>
          </cell>
          <cell r="T42">
            <v>0.19531799999999999</v>
          </cell>
        </row>
        <row r="43">
          <cell r="B43">
            <v>0.21765200000000001</v>
          </cell>
          <cell r="D43">
            <v>17.219101999999999</v>
          </cell>
          <cell r="E43">
            <v>58791.714956000003</v>
          </cell>
          <cell r="F43">
            <v>7.7989000000000003E-2</v>
          </cell>
          <cell r="G43">
            <v>4.6202E-2</v>
          </cell>
          <cell r="H43">
            <v>5.5202000000000001E-2</v>
          </cell>
          <cell r="I43">
            <v>0.45300299999999999</v>
          </cell>
          <cell r="J43">
            <v>2.6995930000000001</v>
          </cell>
          <cell r="K43">
            <v>788.80271000000005</v>
          </cell>
          <cell r="L43">
            <v>968.17330800000002</v>
          </cell>
          <cell r="M43">
            <v>70.999375999999998</v>
          </cell>
          <cell r="N43">
            <v>604.55855699999995</v>
          </cell>
          <cell r="O43">
            <v>0.811863</v>
          </cell>
          <cell r="P43">
            <v>57.828890999999999</v>
          </cell>
          <cell r="Q43">
            <v>0.34737699999999999</v>
          </cell>
          <cell r="R43">
            <v>118.534367</v>
          </cell>
          <cell r="S43">
            <v>60.943210999999998</v>
          </cell>
          <cell r="T43">
            <v>0.98766799999999999</v>
          </cell>
        </row>
      </sheetData>
      <sheetData sheetId="3">
        <row r="2">
          <cell r="B2">
            <v>7778.3069186223702</v>
          </cell>
          <cell r="C2">
            <v>104.57939652544999</v>
          </cell>
          <cell r="D2">
            <v>55.101341054556499</v>
          </cell>
          <cell r="E2">
            <v>197215.025906736</v>
          </cell>
          <cell r="F2">
            <v>1.8573986589454401</v>
          </cell>
          <cell r="G2">
            <v>3.67456568119476</v>
          </cell>
          <cell r="H2">
            <v>7.1748323681804296</v>
          </cell>
          <cell r="I2">
            <v>5.5072767448948499</v>
          </cell>
          <cell r="J2">
            <v>7920.6034745504403</v>
          </cell>
          <cell r="K2">
            <v>9107.9870145372497</v>
          </cell>
          <cell r="L2">
            <v>5606.1414202986898</v>
          </cell>
          <cell r="M2">
            <v>4107.7415422127397</v>
          </cell>
          <cell r="N2">
            <v>2586.9084662731202</v>
          </cell>
          <cell r="O2">
            <v>9.0486894239561106</v>
          </cell>
          <cell r="P2">
            <v>228.66199329472701</v>
          </cell>
          <cell r="Q2">
            <v>28.699329472721701</v>
          </cell>
          <cell r="R2">
            <v>6399.3447119780603</v>
          </cell>
          <cell r="S2">
            <v>2630.82901554404</v>
          </cell>
          <cell r="T2">
            <v>24.137267601341101</v>
          </cell>
        </row>
        <row r="3">
          <cell r="B3">
            <v>9792.4885592551691</v>
          </cell>
          <cell r="C3">
            <v>124.980274577876</v>
          </cell>
          <cell r="D3">
            <v>64.087896480984696</v>
          </cell>
          <cell r="E3">
            <v>194133.65946031301</v>
          </cell>
          <cell r="F3">
            <v>1.99009783809374</v>
          </cell>
          <cell r="G3">
            <v>4.5222502761559102</v>
          </cell>
          <cell r="H3">
            <v>7.2260138866971699</v>
          </cell>
          <cell r="I3">
            <v>4.6024341170901097</v>
          </cell>
          <cell r="J3">
            <v>7800.6154331702701</v>
          </cell>
          <cell r="K3">
            <v>7601.7831781600098</v>
          </cell>
          <cell r="L3">
            <v>4853.6373678396703</v>
          </cell>
          <cell r="M3">
            <v>3240.4923465362199</v>
          </cell>
          <cell r="N3">
            <v>2696.30740097838</v>
          </cell>
          <cell r="O3">
            <v>8.8604623638945892</v>
          </cell>
          <cell r="P3">
            <v>227.556414707275</v>
          </cell>
          <cell r="Q3">
            <v>27.044737257377299</v>
          </cell>
          <cell r="R3">
            <v>6986.4683604229103</v>
          </cell>
          <cell r="S3">
            <v>2299.1163010888399</v>
          </cell>
          <cell r="T3">
            <v>28.069078428278399</v>
          </cell>
        </row>
        <row r="4">
          <cell r="B4">
            <v>7604.5418950665598</v>
          </cell>
          <cell r="C4">
            <v>107.760375880971</v>
          </cell>
          <cell r="D4">
            <v>68.188332028191098</v>
          </cell>
          <cell r="E4">
            <v>185462.020360219</v>
          </cell>
          <cell r="F4">
            <v>2.0321064996084601</v>
          </cell>
          <cell r="G4">
            <v>3.40336726703211</v>
          </cell>
          <cell r="H4">
            <v>6.8539545810493401</v>
          </cell>
          <cell r="I4">
            <v>5.7321848081440896</v>
          </cell>
          <cell r="J4">
            <v>6226.7032106499601</v>
          </cell>
          <cell r="K4">
            <v>9764.6828504306995</v>
          </cell>
          <cell r="L4">
            <v>5453.2106499608499</v>
          </cell>
          <cell r="M4">
            <v>3425.2153484729802</v>
          </cell>
          <cell r="N4">
            <v>2782.2239624119002</v>
          </cell>
          <cell r="O4">
            <v>10.6509397024276</v>
          </cell>
          <cell r="P4">
            <v>232.11824588880199</v>
          </cell>
          <cell r="Q4">
            <v>14.4162098668755</v>
          </cell>
          <cell r="R4">
            <v>6922.0830070477696</v>
          </cell>
          <cell r="S4">
            <v>2429.1307752544999</v>
          </cell>
          <cell r="T4">
            <v>30.362960062646799</v>
          </cell>
        </row>
        <row r="5">
          <cell r="B5">
            <v>11232.605729877199</v>
          </cell>
          <cell r="C5">
            <v>98.671555252387407</v>
          </cell>
          <cell r="D5">
            <v>67.960436562073696</v>
          </cell>
          <cell r="E5">
            <v>165818.55388813099</v>
          </cell>
          <cell r="F5">
            <v>2.2119372442019101</v>
          </cell>
          <cell r="G5">
            <v>5.4346862210095503</v>
          </cell>
          <cell r="H5">
            <v>9.5463847203274206</v>
          </cell>
          <cell r="I5">
            <v>7.9502046384720302</v>
          </cell>
          <cell r="J5">
            <v>11038.1991814461</v>
          </cell>
          <cell r="K5">
            <v>12063.4379263302</v>
          </cell>
          <cell r="L5">
            <v>5890.5184174624801</v>
          </cell>
          <cell r="M5">
            <v>3626.7053206002702</v>
          </cell>
          <cell r="N5">
            <v>2215.0068212823999</v>
          </cell>
          <cell r="O5">
            <v>9.4727148703956399</v>
          </cell>
          <cell r="P5">
            <v>257.33287858117302</v>
          </cell>
          <cell r="Q5">
            <v>26.8925648021828</v>
          </cell>
          <cell r="R5">
            <v>5639.8362892223704</v>
          </cell>
          <cell r="S5">
            <v>2212.14188267394</v>
          </cell>
          <cell r="T5">
            <v>27.706002728512999</v>
          </cell>
        </row>
        <row r="6">
          <cell r="B6">
            <v>11048.4477571116</v>
          </cell>
          <cell r="C6">
            <v>96.468134573304198</v>
          </cell>
          <cell r="D6">
            <v>63.050464989059101</v>
          </cell>
          <cell r="E6">
            <v>164144.55689277899</v>
          </cell>
          <cell r="F6">
            <v>1.92720869803063</v>
          </cell>
          <cell r="G6">
            <v>5.33267231947484</v>
          </cell>
          <cell r="H6">
            <v>10.430456783369801</v>
          </cell>
          <cell r="I6">
            <v>10.718681619255999</v>
          </cell>
          <cell r="J6">
            <v>9800.67013129103</v>
          </cell>
          <cell r="K6">
            <v>8954.4584245076603</v>
          </cell>
          <cell r="L6">
            <v>5501.9146608315104</v>
          </cell>
          <cell r="M6">
            <v>3799.2341356674001</v>
          </cell>
          <cell r="N6">
            <v>1708.4245076586401</v>
          </cell>
          <cell r="O6">
            <v>9.4283369803063408</v>
          </cell>
          <cell r="P6">
            <v>267.64394146608299</v>
          </cell>
          <cell r="Q6">
            <v>21.672251094091902</v>
          </cell>
          <cell r="R6">
            <v>5351.1351203501099</v>
          </cell>
          <cell r="S6">
            <v>2175.1230853391698</v>
          </cell>
          <cell r="T6">
            <v>26.879786652078799</v>
          </cell>
        </row>
        <row r="7">
          <cell r="B7">
            <v>11210.1063829787</v>
          </cell>
          <cell r="C7">
            <v>109.659574468085</v>
          </cell>
          <cell r="D7">
            <v>78.670212765957402</v>
          </cell>
          <cell r="E7">
            <v>125202.127659575</v>
          </cell>
          <cell r="F7">
            <v>1.7808510638297901</v>
          </cell>
          <cell r="G7">
            <v>5.9505319148936202</v>
          </cell>
          <cell r="H7">
            <v>8.2446808510638299</v>
          </cell>
          <cell r="I7">
            <v>9.8351063829787204</v>
          </cell>
          <cell r="J7">
            <v>8842.0212765957494</v>
          </cell>
          <cell r="K7">
            <v>7664.3617021276596</v>
          </cell>
          <cell r="L7">
            <v>4981.9148936170204</v>
          </cell>
          <cell r="M7">
            <v>3781.91489361702</v>
          </cell>
          <cell r="N7">
            <v>1932.6861702127701</v>
          </cell>
          <cell r="O7">
            <v>11.913829787234</v>
          </cell>
          <cell r="P7">
            <v>263.244680851064</v>
          </cell>
          <cell r="Q7">
            <v>22.021276595744698</v>
          </cell>
          <cell r="R7">
            <v>5215.4255319148897</v>
          </cell>
          <cell r="S7">
            <v>2101.4893617021298</v>
          </cell>
          <cell r="T7">
            <v>30.5159574468085</v>
          </cell>
        </row>
        <row r="8">
          <cell r="B8">
            <v>7342.2347404449501</v>
          </cell>
          <cell r="C8">
            <v>20.0388619509412</v>
          </cell>
          <cell r="D8">
            <v>212.902880775813</v>
          </cell>
          <cell r="E8">
            <v>5197.6968054763302</v>
          </cell>
          <cell r="F8">
            <v>0.60702189104392501</v>
          </cell>
          <cell r="G8">
            <v>10.001782658300099</v>
          </cell>
          <cell r="H8">
            <v>10.2574158585282</v>
          </cell>
          <cell r="I8">
            <v>21.846477467199101</v>
          </cell>
          <cell r="J8">
            <v>20033.5139760411</v>
          </cell>
          <cell r="K8">
            <v>12346.6022532801</v>
          </cell>
          <cell r="L8">
            <v>3195.6824015972602</v>
          </cell>
          <cell r="M8">
            <v>428.42626925270997</v>
          </cell>
          <cell r="N8">
            <v>2254.1714204221298</v>
          </cell>
          <cell r="O8">
            <v>13.344801768397</v>
          </cell>
          <cell r="P8">
            <v>972.74315459212801</v>
          </cell>
          <cell r="Q8">
            <v>13.583856246434699</v>
          </cell>
          <cell r="R8">
            <v>1180.8328579577901</v>
          </cell>
          <cell r="S8">
            <v>69.975577581289201</v>
          </cell>
          <cell r="T8">
            <v>44.698374215630302</v>
          </cell>
        </row>
        <row r="9">
          <cell r="B9">
            <v>7285.4143990048196</v>
          </cell>
          <cell r="C9">
            <v>16.132405535686502</v>
          </cell>
          <cell r="D9">
            <v>222.28269320478901</v>
          </cell>
          <cell r="E9">
            <v>5144.2232934224803</v>
          </cell>
          <cell r="F9">
            <v>0.56783548437257003</v>
          </cell>
          <cell r="G9">
            <v>10.575921318613</v>
          </cell>
          <cell r="H9">
            <v>10.306231534753501</v>
          </cell>
          <cell r="I9">
            <v>16.770331208210202</v>
          </cell>
          <cell r="J9">
            <v>18887.0315658529</v>
          </cell>
          <cell r="K9">
            <v>8842.9093453584192</v>
          </cell>
          <cell r="L9">
            <v>2878.8291090032699</v>
          </cell>
          <cell r="M9">
            <v>967.32623231223795</v>
          </cell>
          <cell r="N9">
            <v>1756.0449385787599</v>
          </cell>
          <cell r="O9">
            <v>11.0704011817758</v>
          </cell>
          <cell r="P9">
            <v>1076.3100606437599</v>
          </cell>
          <cell r="Q9">
            <v>18.6908140258125</v>
          </cell>
          <cell r="R9">
            <v>1000.62198724926</v>
          </cell>
          <cell r="S9">
            <v>71.652931114912107</v>
          </cell>
          <cell r="T9">
            <v>39.966568185352202</v>
          </cell>
        </row>
        <row r="10">
          <cell r="B10">
            <v>8765.4759912999798</v>
          </cell>
          <cell r="C10">
            <v>17.921511627907002</v>
          </cell>
          <cell r="D10">
            <v>222.97975573029899</v>
          </cell>
          <cell r="E10">
            <v>5418.2700351346803</v>
          </cell>
          <cell r="F10">
            <v>0.55873556968378801</v>
          </cell>
          <cell r="G10">
            <v>9.7919106575204999</v>
          </cell>
          <cell r="H10">
            <v>11.120127154090699</v>
          </cell>
          <cell r="I10">
            <v>17.266187050359701</v>
          </cell>
          <cell r="J10">
            <v>22831.269867826701</v>
          </cell>
          <cell r="K10">
            <v>10502.7605822319</v>
          </cell>
          <cell r="L10">
            <v>3091.8520997155802</v>
          </cell>
          <cell r="M10">
            <v>513.46829513133696</v>
          </cell>
          <cell r="N10">
            <v>1807.9617701187899</v>
          </cell>
          <cell r="O10">
            <v>10.2091350175673</v>
          </cell>
          <cell r="P10">
            <v>1147.1473983603801</v>
          </cell>
          <cell r="Q10">
            <v>8.6017232725447599</v>
          </cell>
          <cell r="R10">
            <v>1258.57453572026</v>
          </cell>
          <cell r="S10">
            <v>70.338380458423899</v>
          </cell>
          <cell r="T10">
            <v>43.592103061736701</v>
          </cell>
        </row>
        <row r="11">
          <cell r="B11">
            <v>7394.1593517893298</v>
          </cell>
          <cell r="C11">
            <v>9.1944632005401701</v>
          </cell>
          <cell r="D11">
            <v>197.70425388251201</v>
          </cell>
          <cell r="E11">
            <v>6305.8744091829803</v>
          </cell>
          <cell r="F11">
            <v>0.416880486158001</v>
          </cell>
          <cell r="G11">
            <v>9.7140445644834603</v>
          </cell>
          <cell r="H11">
            <v>12.913571910870999</v>
          </cell>
          <cell r="I11">
            <v>17.370020256583398</v>
          </cell>
          <cell r="J11">
            <v>15739.365293720501</v>
          </cell>
          <cell r="K11">
            <v>10993.247805536799</v>
          </cell>
          <cell r="L11">
            <v>2691.59351789332</v>
          </cell>
          <cell r="M11">
            <v>1086.2086428089101</v>
          </cell>
          <cell r="N11">
            <v>2177.6080351114101</v>
          </cell>
          <cell r="O11">
            <v>10.4941762322755</v>
          </cell>
          <cell r="P11">
            <v>1044.1762322754901</v>
          </cell>
          <cell r="Q11">
            <v>9.3955097906819702</v>
          </cell>
          <cell r="R11">
            <v>1042.201215395</v>
          </cell>
          <cell r="S11">
            <v>54.956110735989199</v>
          </cell>
          <cell r="T11">
            <v>43.708642808912899</v>
          </cell>
        </row>
        <row r="12">
          <cell r="B12">
            <v>8874.2616197730495</v>
          </cell>
          <cell r="C12">
            <v>8.6827685372299097</v>
          </cell>
          <cell r="D12">
            <v>152.605704958806</v>
          </cell>
          <cell r="E12">
            <v>10081.804756723201</v>
          </cell>
          <cell r="F12">
            <v>0.53740478781283996</v>
          </cell>
          <cell r="G12">
            <v>10.0439141924452</v>
          </cell>
          <cell r="H12">
            <v>14.8064666563034</v>
          </cell>
          <cell r="I12">
            <v>15.4127156847505</v>
          </cell>
          <cell r="J12">
            <v>17732.7840820768</v>
          </cell>
          <cell r="K12">
            <v>10874.009016011199</v>
          </cell>
          <cell r="L12">
            <v>2605.70495880616</v>
          </cell>
          <cell r="M12">
            <v>578.38489040882905</v>
          </cell>
          <cell r="N12">
            <v>2318.0281361728598</v>
          </cell>
          <cell r="O12">
            <v>10.9299704647909</v>
          </cell>
          <cell r="P12">
            <v>1024.0945126690499</v>
          </cell>
          <cell r="Q12">
            <v>8.6040727498834109</v>
          </cell>
          <cell r="R12">
            <v>1202.00528524794</v>
          </cell>
          <cell r="S12">
            <v>65.372882014612202</v>
          </cell>
          <cell r="T12">
            <v>42.9678998911861</v>
          </cell>
        </row>
        <row r="13">
          <cell r="B13">
            <v>7838.4983361064897</v>
          </cell>
          <cell r="C13">
            <v>9.0684796173044901</v>
          </cell>
          <cell r="D13">
            <v>159.88976705490899</v>
          </cell>
          <cell r="E13">
            <v>6174.8648086522498</v>
          </cell>
          <cell r="F13">
            <v>0.42179700499168099</v>
          </cell>
          <cell r="G13">
            <v>10.321339434276201</v>
          </cell>
          <cell r="H13">
            <v>14.627183860233</v>
          </cell>
          <cell r="I13">
            <v>14.699459234609</v>
          </cell>
          <cell r="J13">
            <v>16696.131447587399</v>
          </cell>
          <cell r="K13">
            <v>10342.1381031614</v>
          </cell>
          <cell r="L13">
            <v>2502.3398502495802</v>
          </cell>
          <cell r="M13">
            <v>773.55449251247899</v>
          </cell>
          <cell r="N13">
            <v>2253.53577371048</v>
          </cell>
          <cell r="O13">
            <v>9.7992928452579005</v>
          </cell>
          <cell r="P13">
            <v>1129.31572379368</v>
          </cell>
          <cell r="Q13">
            <v>10.591722129783699</v>
          </cell>
          <cell r="R13">
            <v>1204.2429284525799</v>
          </cell>
          <cell r="S13">
            <v>52.0733673044925</v>
          </cell>
          <cell r="T13">
            <v>45.681676372712197</v>
          </cell>
        </row>
        <row r="14">
          <cell r="B14">
            <v>7189.6979726934196</v>
          </cell>
          <cell r="C14">
            <v>16.197765825403401</v>
          </cell>
          <cell r="D14">
            <v>212.143152668597</v>
          </cell>
          <cell r="E14">
            <v>4872.5175837815495</v>
          </cell>
          <cell r="F14">
            <v>0.46788374017376899</v>
          </cell>
          <cell r="G14">
            <v>10.887980968142299</v>
          </cell>
          <cell r="H14">
            <v>13.632602399669</v>
          </cell>
          <cell r="I14">
            <v>16.725279271824601</v>
          </cell>
          <cell r="J14">
            <v>19471.969383533298</v>
          </cell>
          <cell r="K14">
            <v>9745.0351675630991</v>
          </cell>
          <cell r="L14">
            <v>3201.5411667356202</v>
          </cell>
          <cell r="M14">
            <v>454.23045097227998</v>
          </cell>
          <cell r="N14">
            <v>1967.50879189077</v>
          </cell>
          <cell r="O14">
            <v>13.3166115018618</v>
          </cell>
          <cell r="P14">
            <v>1036.92594124948</v>
          </cell>
          <cell r="Q14">
            <v>8.5333057509309107</v>
          </cell>
          <cell r="R14">
            <v>1124.3276789408401</v>
          </cell>
          <cell r="S14">
            <v>56.363777410012403</v>
          </cell>
          <cell r="T14">
            <v>39.8065784029789</v>
          </cell>
        </row>
        <row r="15">
          <cell r="B15">
            <v>7949.6338311315303</v>
          </cell>
          <cell r="C15">
            <v>20.496033170591598</v>
          </cell>
          <cell r="D15">
            <v>226.97085008615699</v>
          </cell>
          <cell r="E15">
            <v>4506.5695002871898</v>
          </cell>
          <cell r="F15">
            <v>0.57792755600229695</v>
          </cell>
          <cell r="G15">
            <v>11.090070361861001</v>
          </cell>
          <cell r="H15">
            <v>12.8805284319357</v>
          </cell>
          <cell r="I15">
            <v>20.2577541642734</v>
          </cell>
          <cell r="J15">
            <v>22654.006318207899</v>
          </cell>
          <cell r="K15">
            <v>7183.3716255025802</v>
          </cell>
          <cell r="L15">
            <v>3065.7219270534201</v>
          </cell>
          <cell r="M15">
            <v>540.42217116599704</v>
          </cell>
          <cell r="N15">
            <v>1868.34972716829</v>
          </cell>
          <cell r="O15">
            <v>10.932563900057399</v>
          </cell>
          <cell r="P15">
            <v>1042.39661114302</v>
          </cell>
          <cell r="Q15">
            <v>8.72515795519816</v>
          </cell>
          <cell r="R15">
            <v>750.64618035611704</v>
          </cell>
          <cell r="S15">
            <v>55.099170735209597</v>
          </cell>
          <cell r="T15">
            <v>32.502871912693898</v>
          </cell>
        </row>
        <row r="16">
          <cell r="B16">
            <v>8202.1165857043707</v>
          </cell>
          <cell r="C16">
            <v>16.348022206800799</v>
          </cell>
          <cell r="D16">
            <v>247.01596113809899</v>
          </cell>
          <cell r="E16">
            <v>5053.78209576683</v>
          </cell>
          <cell r="F16">
            <v>0.60793719639139499</v>
          </cell>
          <cell r="G16">
            <v>12.8754337265788</v>
          </cell>
          <cell r="H16">
            <v>12.6266481609993</v>
          </cell>
          <cell r="I16">
            <v>20.725190839694701</v>
          </cell>
          <cell r="J16">
            <v>20282.789729354601</v>
          </cell>
          <cell r="K16">
            <v>10100.017349063201</v>
          </cell>
          <cell r="L16">
            <v>3502.2553782095802</v>
          </cell>
          <cell r="M16">
            <v>727.56766134628697</v>
          </cell>
          <cell r="N16">
            <v>1965.9004163775201</v>
          </cell>
          <cell r="O16">
            <v>12.10253296322</v>
          </cell>
          <cell r="P16">
            <v>1016.63775156142</v>
          </cell>
          <cell r="Q16">
            <v>8.2083622484385792</v>
          </cell>
          <cell r="R16">
            <v>753.64330326162406</v>
          </cell>
          <cell r="S16">
            <v>59.892002081887597</v>
          </cell>
          <cell r="T16">
            <v>39.555863983344899</v>
          </cell>
        </row>
        <row r="17">
          <cell r="B17">
            <v>8588.5314341846806</v>
          </cell>
          <cell r="C17">
            <v>7.4871070726915496</v>
          </cell>
          <cell r="D17">
            <v>179.58005893909601</v>
          </cell>
          <cell r="E17">
            <v>7664.8452848723</v>
          </cell>
          <cell r="F17">
            <v>0.46405329076620799</v>
          </cell>
          <cell r="G17">
            <v>11.7012524557957</v>
          </cell>
          <cell r="H17">
            <v>16.189833005893899</v>
          </cell>
          <cell r="I17">
            <v>14.8391453831041</v>
          </cell>
          <cell r="J17">
            <v>16872.237229862501</v>
          </cell>
          <cell r="K17">
            <v>10213.040275049099</v>
          </cell>
          <cell r="L17">
            <v>2865.9135559921401</v>
          </cell>
          <cell r="M17">
            <v>518.35707269155205</v>
          </cell>
          <cell r="N17">
            <v>1622.11444007859</v>
          </cell>
          <cell r="O17">
            <v>17.589636542239699</v>
          </cell>
          <cell r="P17">
            <v>1679.3958742632601</v>
          </cell>
          <cell r="Q17">
            <v>6.7982563850687603</v>
          </cell>
          <cell r="R17">
            <v>689.77161100196497</v>
          </cell>
          <cell r="S17">
            <v>56.936087917485303</v>
          </cell>
          <cell r="T17">
            <v>40.667976424361498</v>
          </cell>
        </row>
        <row r="18">
          <cell r="B18">
            <v>6566.5088576664602</v>
          </cell>
          <cell r="C18">
            <v>7.7588576664630402</v>
          </cell>
          <cell r="D18">
            <v>164.30016799022599</v>
          </cell>
          <cell r="E18">
            <v>9509.0103848503404</v>
          </cell>
          <cell r="F18">
            <v>0.48690439828955401</v>
          </cell>
          <cell r="G18">
            <v>9.8646533292608396</v>
          </cell>
          <cell r="H18">
            <v>16.4935858277337</v>
          </cell>
          <cell r="I18">
            <v>16.894471594380001</v>
          </cell>
          <cell r="J18">
            <v>16411.117898594999</v>
          </cell>
          <cell r="K18">
            <v>9672.8008552229694</v>
          </cell>
          <cell r="L18">
            <v>3112.0189370800199</v>
          </cell>
          <cell r="M18">
            <v>586.78222357971902</v>
          </cell>
          <cell r="N18">
            <v>2025.5612400733</v>
          </cell>
          <cell r="O18">
            <v>16.5256566890654</v>
          </cell>
          <cell r="P18">
            <v>1615.45510079414</v>
          </cell>
          <cell r="Q18">
            <v>7.9804902260232096</v>
          </cell>
          <cell r="R18">
            <v>857.32284667073895</v>
          </cell>
          <cell r="S18">
            <v>67.125458155161894</v>
          </cell>
          <cell r="T18">
            <v>43.630688759926699</v>
          </cell>
        </row>
        <row r="19">
          <cell r="B19">
            <v>8375.2726706139001</v>
          </cell>
          <cell r="C19">
            <v>12.3104939233406</v>
          </cell>
          <cell r="D19">
            <v>177.39171081333799</v>
          </cell>
          <cell r="E19">
            <v>7118.4559052664399</v>
          </cell>
          <cell r="F19">
            <v>0.43681832346525401</v>
          </cell>
          <cell r="G19">
            <v>9.7991975693362399</v>
          </cell>
          <cell r="H19">
            <v>14.741741975693399</v>
          </cell>
          <cell r="I19">
            <v>15.0397320037395</v>
          </cell>
          <cell r="J19">
            <v>17271.151449049601</v>
          </cell>
          <cell r="K19">
            <v>13762.3188688065</v>
          </cell>
          <cell r="L19">
            <v>3284.901838579</v>
          </cell>
          <cell r="M19">
            <v>630.16126519164902</v>
          </cell>
          <cell r="N19">
            <v>1804.6801963228399</v>
          </cell>
          <cell r="O19">
            <v>16.845200997195398</v>
          </cell>
          <cell r="P19">
            <v>1601.2581801184199</v>
          </cell>
          <cell r="Q19">
            <v>8.2814934559052702</v>
          </cell>
          <cell r="R19">
            <v>1093.2143970084101</v>
          </cell>
          <cell r="S19">
            <v>68.143307884075995</v>
          </cell>
          <cell r="T19">
            <v>45.189311311935199</v>
          </cell>
        </row>
        <row r="20">
          <cell r="B20">
            <v>4497.3496152033904</v>
          </cell>
          <cell r="C20">
            <v>2251.06015391864</v>
          </cell>
          <cell r="D20">
            <v>24.993128632008801</v>
          </cell>
          <cell r="E20">
            <v>7880.4774619129903</v>
          </cell>
          <cell r="F20">
            <v>18.871623213444298</v>
          </cell>
          <cell r="G20">
            <v>30.744463640647101</v>
          </cell>
          <cell r="H20">
            <v>23.447070833987699</v>
          </cell>
          <cell r="I20">
            <v>13092.9008952411</v>
          </cell>
          <cell r="J20">
            <v>49668.211088424701</v>
          </cell>
          <cell r="K20">
            <v>13258.1082142296</v>
          </cell>
          <cell r="L20">
            <v>2026.66090780587</v>
          </cell>
          <cell r="M20">
            <v>1282.0205748390099</v>
          </cell>
          <cell r="N20">
            <v>1983.19459714151</v>
          </cell>
          <cell r="O20">
            <v>65.552850636092302</v>
          </cell>
          <cell r="P20">
            <v>750.17669231977402</v>
          </cell>
          <cell r="Q20">
            <v>1302.3990890529301</v>
          </cell>
          <cell r="R20">
            <v>2066.12219255536</v>
          </cell>
          <cell r="S20">
            <v>24.9666247840427</v>
          </cell>
          <cell r="T20">
            <v>2032.1383697188601</v>
          </cell>
        </row>
        <row r="21">
          <cell r="B21">
            <v>4708.1594732038102</v>
          </cell>
          <cell r="C21">
            <v>1868.8877298213599</v>
          </cell>
          <cell r="D21">
            <v>42.123321163124302</v>
          </cell>
          <cell r="E21">
            <v>6490.2529664884596</v>
          </cell>
          <cell r="F21">
            <v>13.770211240057399</v>
          </cell>
          <cell r="G21">
            <v>28.788792541400401</v>
          </cell>
          <cell r="H21">
            <v>22.700971443473701</v>
          </cell>
          <cell r="I21">
            <v>6426.6853566305899</v>
          </cell>
          <cell r="J21">
            <v>53264.767244751602</v>
          </cell>
          <cell r="K21">
            <v>11258.8016690572</v>
          </cell>
          <cell r="L21">
            <v>1853.72929977833</v>
          </cell>
          <cell r="M21">
            <v>1162.16260268614</v>
          </cell>
          <cell r="N21">
            <v>1653.8336158560401</v>
          </cell>
          <cell r="O21">
            <v>69.5698591732951</v>
          </cell>
          <cell r="P21">
            <v>817.968444386491</v>
          </cell>
          <cell r="Q21">
            <v>1821.9454948493899</v>
          </cell>
          <cell r="R21">
            <v>2021.44999348025</v>
          </cell>
          <cell r="S21">
            <v>24.5419872212805</v>
          </cell>
          <cell r="T21">
            <v>2251.76033381145</v>
          </cell>
        </row>
        <row r="22">
          <cell r="B22">
            <v>4035.9627946606101</v>
          </cell>
          <cell r="C22">
            <v>1800.5538199375201</v>
          </cell>
          <cell r="D22">
            <v>34.3954132348765</v>
          </cell>
          <cell r="E22">
            <v>10610.976995171801</v>
          </cell>
          <cell r="F22">
            <v>17.395004970178899</v>
          </cell>
          <cell r="G22">
            <v>29.7864598125533</v>
          </cell>
          <cell r="H22">
            <v>23.619887815961398</v>
          </cell>
          <cell r="I22">
            <v>5663.3413802896903</v>
          </cell>
          <cell r="J22">
            <v>49939.647827321802</v>
          </cell>
          <cell r="K22">
            <v>6847.1314967338803</v>
          </cell>
          <cell r="L22">
            <v>1968.19085487078</v>
          </cell>
          <cell r="M22">
            <v>1968.35061062198</v>
          </cell>
          <cell r="N22">
            <v>1656.3476285146301</v>
          </cell>
          <cell r="O22">
            <v>71.259052825901705</v>
          </cell>
          <cell r="P22">
            <v>678.48267537631398</v>
          </cell>
          <cell r="Q22">
            <v>1542.6547855722799</v>
          </cell>
          <cell r="R22">
            <v>2064.84308435104</v>
          </cell>
          <cell r="S22">
            <v>31.8499715989776</v>
          </cell>
          <cell r="T22">
            <v>2076.2922465208699</v>
          </cell>
        </row>
        <row r="23">
          <cell r="B23">
            <v>4033.04732537874</v>
          </cell>
          <cell r="C23">
            <v>1289.59981230728</v>
          </cell>
          <cell r="D23">
            <v>39.526075881485497</v>
          </cell>
          <cell r="E23">
            <v>17857.621665102601</v>
          </cell>
          <cell r="F23">
            <v>20.595086472717501</v>
          </cell>
          <cell r="G23">
            <v>43.543035259418097</v>
          </cell>
          <cell r="H23">
            <v>20.607655181659698</v>
          </cell>
          <cell r="I23">
            <v>4566.9660812441298</v>
          </cell>
          <cell r="J23">
            <v>58874.346427135002</v>
          </cell>
          <cell r="K23">
            <v>10092.4219064218</v>
          </cell>
          <cell r="L23">
            <v>5637.8200831210597</v>
          </cell>
          <cell r="M23">
            <v>3298.53197479555</v>
          </cell>
          <cell r="N23">
            <v>1624.3799436921799</v>
          </cell>
          <cell r="O23">
            <v>52.984649416811898</v>
          </cell>
          <cell r="P23">
            <v>640.85333154578404</v>
          </cell>
          <cell r="Q23">
            <v>1993.1458640568401</v>
          </cell>
          <cell r="R23">
            <v>3900.82450730661</v>
          </cell>
          <cell r="S23">
            <v>24.975784287438</v>
          </cell>
          <cell r="T23">
            <v>3178.87786566564</v>
          </cell>
        </row>
        <row r="24">
          <cell r="B24">
            <v>5420.2130964214703</v>
          </cell>
          <cell r="C24">
            <v>1225.1801689860799</v>
          </cell>
          <cell r="D24">
            <v>46.681628976143102</v>
          </cell>
          <cell r="E24">
            <v>14961.791749503</v>
          </cell>
          <cell r="F24">
            <v>19.723844433399599</v>
          </cell>
          <cell r="G24">
            <v>49.379504224652102</v>
          </cell>
          <cell r="H24">
            <v>24.553460487077501</v>
          </cell>
          <cell r="I24">
            <v>4366.2245278330001</v>
          </cell>
          <cell r="J24">
            <v>56920.974155069598</v>
          </cell>
          <cell r="K24">
            <v>5875.9163767395603</v>
          </cell>
          <cell r="L24">
            <v>4012.3322564612299</v>
          </cell>
          <cell r="M24">
            <v>2445.5610089463198</v>
          </cell>
          <cell r="N24">
            <v>1889.91053677932</v>
          </cell>
          <cell r="O24">
            <v>57.065419980119302</v>
          </cell>
          <cell r="P24">
            <v>757.03590954274398</v>
          </cell>
          <cell r="Q24">
            <v>2219.8061630218699</v>
          </cell>
          <cell r="R24">
            <v>1644.5856113320101</v>
          </cell>
          <cell r="S24">
            <v>27.9747297465209</v>
          </cell>
          <cell r="T24">
            <v>3041.7495029821098</v>
          </cell>
        </row>
        <row r="25">
          <cell r="B25">
            <v>5039.89184136734</v>
          </cell>
          <cell r="C25">
            <v>1147.3327547069</v>
          </cell>
          <cell r="D25">
            <v>32.187333088529797</v>
          </cell>
          <cell r="E25">
            <v>17710.976098277501</v>
          </cell>
          <cell r="F25">
            <v>19.130558151956201</v>
          </cell>
          <cell r="G25">
            <v>42.246962211243201</v>
          </cell>
          <cell r="H25">
            <v>20.9181799973294</v>
          </cell>
          <cell r="I25">
            <v>7047.5864601415396</v>
          </cell>
          <cell r="J25">
            <v>59927.894244892501</v>
          </cell>
          <cell r="K25">
            <v>14853.785552143099</v>
          </cell>
          <cell r="L25">
            <v>6964.2141807984999</v>
          </cell>
          <cell r="M25">
            <v>2505.6749899853098</v>
          </cell>
          <cell r="N25">
            <v>2399.0185605554798</v>
          </cell>
          <cell r="O25">
            <v>56.8784216851382</v>
          </cell>
          <cell r="P25">
            <v>719.25490719722302</v>
          </cell>
          <cell r="Q25">
            <v>1926.82601148351</v>
          </cell>
          <cell r="R25">
            <v>2424.05528107892</v>
          </cell>
          <cell r="S25">
            <v>29.766908131926801</v>
          </cell>
          <cell r="T25">
            <v>3087.0276405394602</v>
          </cell>
        </row>
        <row r="26">
          <cell r="B26">
            <v>12495.2848595213</v>
          </cell>
          <cell r="C26">
            <v>20.297972489594201</v>
          </cell>
          <cell r="D26">
            <v>326.41779396461999</v>
          </cell>
          <cell r="E26">
            <v>4763.1048387096798</v>
          </cell>
          <cell r="F26">
            <v>3.2178394901144598</v>
          </cell>
          <cell r="G26">
            <v>8.2282453173777306</v>
          </cell>
          <cell r="H26">
            <v>20.727920135275799</v>
          </cell>
          <cell r="I26">
            <v>82.921436004162302</v>
          </cell>
          <cell r="J26">
            <v>20393.795525494301</v>
          </cell>
          <cell r="K26">
            <v>12003.609521332</v>
          </cell>
          <cell r="L26">
            <v>2267.4135015608699</v>
          </cell>
          <cell r="M26">
            <v>1055.6386576482801</v>
          </cell>
          <cell r="N26">
            <v>1480.7329604578599</v>
          </cell>
          <cell r="O26">
            <v>16.784274193548399</v>
          </cell>
          <cell r="P26">
            <v>2061.8171175858502</v>
          </cell>
          <cell r="Q26">
            <v>848.944784079084</v>
          </cell>
          <cell r="R26">
            <v>543.623178980229</v>
          </cell>
          <cell r="S26">
            <v>32.405209417273703</v>
          </cell>
          <cell r="T26">
            <v>645.17754942767897</v>
          </cell>
        </row>
        <row r="27">
          <cell r="B27">
            <v>11721.52539732</v>
          </cell>
          <cell r="C27">
            <v>20.043335151137398</v>
          </cell>
          <cell r="D27">
            <v>340.00077905889702</v>
          </cell>
          <cell r="E27">
            <v>5768.7363664693103</v>
          </cell>
          <cell r="F27">
            <v>3.9948192583359301</v>
          </cell>
          <cell r="G27">
            <v>8.0048301651604898</v>
          </cell>
          <cell r="H27">
            <v>21.393931131193501</v>
          </cell>
          <cell r="I27">
            <v>60.851316609535701</v>
          </cell>
          <cell r="J27">
            <v>23471.096914926798</v>
          </cell>
          <cell r="K27">
            <v>7547.0356808974802</v>
          </cell>
          <cell r="L27">
            <v>2334.2552196946099</v>
          </cell>
          <cell r="M27">
            <v>1114.8332813960701</v>
          </cell>
          <cell r="N27">
            <v>1566.72639451543</v>
          </cell>
          <cell r="O27">
            <v>13.4113041445933</v>
          </cell>
          <cell r="P27">
            <v>2307.6698348395098</v>
          </cell>
          <cell r="Q27">
            <v>850.76153007167295</v>
          </cell>
          <cell r="R27">
            <v>558.29308195699605</v>
          </cell>
          <cell r="S27">
            <v>35.3354822374572</v>
          </cell>
          <cell r="T27">
            <v>669.77641009660294</v>
          </cell>
        </row>
        <row r="28">
          <cell r="B28">
            <v>12407.284193473701</v>
          </cell>
          <cell r="C28">
            <v>14.625520712798</v>
          </cell>
          <cell r="D28">
            <v>332.47512149965303</v>
          </cell>
          <cell r="E28">
            <v>4217.77366350382</v>
          </cell>
          <cell r="F28">
            <v>4.1743809303401997</v>
          </cell>
          <cell r="G28">
            <v>9.37543392733164</v>
          </cell>
          <cell r="H28">
            <v>20.112531821337701</v>
          </cell>
          <cell r="I28">
            <v>67.360709326544793</v>
          </cell>
          <cell r="J28">
            <v>18836.785466327201</v>
          </cell>
          <cell r="K28">
            <v>9553.7780606341094</v>
          </cell>
          <cell r="L28">
            <v>1863.6094075445501</v>
          </cell>
          <cell r="M28">
            <v>948.60853968988704</v>
          </cell>
          <cell r="N28">
            <v>1627.61802823421</v>
          </cell>
          <cell r="O28">
            <v>11.390592455450101</v>
          </cell>
          <cell r="P28">
            <v>2051.6084239759298</v>
          </cell>
          <cell r="Q28">
            <v>812.05160842397595</v>
          </cell>
          <cell r="R28">
            <v>512.90210599398301</v>
          </cell>
          <cell r="S28">
            <v>31.613775746355</v>
          </cell>
          <cell r="T28">
            <v>628.54373987502902</v>
          </cell>
        </row>
        <row r="29">
          <cell r="B29">
            <v>11577.8562653563</v>
          </cell>
          <cell r="C29">
            <v>18.707770270270299</v>
          </cell>
          <cell r="D29">
            <v>355.85585585585602</v>
          </cell>
          <cell r="E29">
            <v>5333.2309582309599</v>
          </cell>
          <cell r="F29">
            <v>4.3588759213759198</v>
          </cell>
          <cell r="G29">
            <v>7.6735257985257999</v>
          </cell>
          <cell r="H29">
            <v>20.208845208845201</v>
          </cell>
          <cell r="I29">
            <v>70.454545454545496</v>
          </cell>
          <cell r="J29">
            <v>18872.850122850101</v>
          </cell>
          <cell r="K29">
            <v>11663.0835380835</v>
          </cell>
          <cell r="L29">
            <v>2062.0009213759199</v>
          </cell>
          <cell r="M29">
            <v>992.88493038493004</v>
          </cell>
          <cell r="N29">
            <v>1357.95454545455</v>
          </cell>
          <cell r="O29">
            <v>12.1427108927109</v>
          </cell>
          <cell r="P29">
            <v>2231.7772317772301</v>
          </cell>
          <cell r="Q29">
            <v>877.66175266175298</v>
          </cell>
          <cell r="R29">
            <v>558.200245700246</v>
          </cell>
          <cell r="S29">
            <v>39.212223587223598</v>
          </cell>
          <cell r="T29">
            <v>618.49918099918102</v>
          </cell>
        </row>
        <row r="30">
          <cell r="B30">
            <v>12080.944972158501</v>
          </cell>
          <cell r="C30">
            <v>15.563175565018</v>
          </cell>
          <cell r="D30">
            <v>218.05396331477201</v>
          </cell>
          <cell r="E30">
            <v>5047.0848345889299</v>
          </cell>
          <cell r="F30">
            <v>4.1491975106452701</v>
          </cell>
          <cell r="G30">
            <v>7.6001064526695101</v>
          </cell>
          <cell r="H30">
            <v>17.5493367179823</v>
          </cell>
          <cell r="I30">
            <v>61.961595152309201</v>
          </cell>
          <cell r="J30">
            <v>20009.621683589899</v>
          </cell>
          <cell r="K30">
            <v>8022.0275139207297</v>
          </cell>
          <cell r="L30">
            <v>2003.1116934163099</v>
          </cell>
          <cell r="M30">
            <v>994.64665902391096</v>
          </cell>
          <cell r="N30">
            <v>1279.5815591221799</v>
          </cell>
          <cell r="O30">
            <v>11.881960366852301</v>
          </cell>
          <cell r="P30">
            <v>1808.5489682279699</v>
          </cell>
          <cell r="Q30">
            <v>703.44742875859799</v>
          </cell>
          <cell r="R30">
            <v>478.11578774975402</v>
          </cell>
          <cell r="S30">
            <v>31.063707828365501</v>
          </cell>
          <cell r="T30">
            <v>572.54135276776901</v>
          </cell>
        </row>
        <row r="31">
          <cell r="B31">
            <v>12118.6218764028</v>
          </cell>
          <cell r="C31">
            <v>17.069429896753</v>
          </cell>
          <cell r="D31">
            <v>337.57294628160997</v>
          </cell>
          <cell r="E31">
            <v>4956.9803980248398</v>
          </cell>
          <cell r="F31">
            <v>3.6419833906928001</v>
          </cell>
          <cell r="G31">
            <v>7.5886577884183799</v>
          </cell>
          <cell r="H31">
            <v>17.431355678587501</v>
          </cell>
          <cell r="I31">
            <v>64.246034714948394</v>
          </cell>
          <cell r="J31">
            <v>17860.616489600499</v>
          </cell>
          <cell r="K31">
            <v>9240.0493790214005</v>
          </cell>
          <cell r="L31">
            <v>2238.8897201855498</v>
          </cell>
          <cell r="M31">
            <v>1265.61798593446</v>
          </cell>
          <cell r="N31">
            <v>1808.7872213078001</v>
          </cell>
          <cell r="O31">
            <v>11.5631078856801</v>
          </cell>
          <cell r="P31">
            <v>2123.4512943289001</v>
          </cell>
          <cell r="Q31">
            <v>603.15352386652705</v>
          </cell>
          <cell r="R31">
            <v>553.83061499326698</v>
          </cell>
          <cell r="S31">
            <v>30.620604518928602</v>
          </cell>
          <cell r="T31">
            <v>577.73455035163795</v>
          </cell>
        </row>
        <row r="32">
          <cell r="B32">
            <v>3992.2260776724902</v>
          </cell>
          <cell r="C32">
            <v>9.50086747631123</v>
          </cell>
          <cell r="D32">
            <v>28.575420392366201</v>
          </cell>
          <cell r="E32">
            <v>3441.21179767783</v>
          </cell>
          <cell r="F32">
            <v>0.30193180301614803</v>
          </cell>
          <cell r="G32">
            <v>3.2542873348458601</v>
          </cell>
          <cell r="H32">
            <v>11.898605365007301</v>
          </cell>
          <cell r="I32">
            <v>11.2680168156947</v>
          </cell>
          <cell r="J32">
            <v>8200.1534765781398</v>
          </cell>
          <cell r="K32">
            <v>8805.7186707593792</v>
          </cell>
          <cell r="L32">
            <v>821.19144534899203</v>
          </cell>
          <cell r="M32">
            <v>213.69945282263501</v>
          </cell>
          <cell r="N32">
            <v>1574.9699719738401</v>
          </cell>
          <cell r="O32">
            <v>6.7503002802615804</v>
          </cell>
          <cell r="P32">
            <v>617.60142799946595</v>
          </cell>
          <cell r="Q32">
            <v>12.0517482984119</v>
          </cell>
          <cell r="R32">
            <v>456.425997597758</v>
          </cell>
          <cell r="S32">
            <v>24.273905645268901</v>
          </cell>
          <cell r="T32">
            <v>32.880688642733197</v>
          </cell>
        </row>
        <row r="33">
          <cell r="B33">
            <v>4074.89561586639</v>
          </cell>
          <cell r="C33">
            <v>7.7358429018789199</v>
          </cell>
          <cell r="D33">
            <v>32.617880675887299</v>
          </cell>
          <cell r="E33">
            <v>3712.3238517745299</v>
          </cell>
          <cell r="F33">
            <v>0.26458931367432198</v>
          </cell>
          <cell r="G33">
            <v>3.0025932933194199</v>
          </cell>
          <cell r="H33">
            <v>13.4386417014614</v>
          </cell>
          <cell r="I33">
            <v>8.3450221816283907</v>
          </cell>
          <cell r="J33">
            <v>8074.9282359081399</v>
          </cell>
          <cell r="K33">
            <v>9227.81837160752</v>
          </cell>
          <cell r="L33">
            <v>807.54175365344497</v>
          </cell>
          <cell r="M33">
            <v>331.37884916492698</v>
          </cell>
          <cell r="N33">
            <v>1510.8380088726501</v>
          </cell>
          <cell r="O33">
            <v>5.5868345511482298</v>
          </cell>
          <cell r="P33">
            <v>696.00567588726506</v>
          </cell>
          <cell r="Q33">
            <v>10.4705441022965</v>
          </cell>
          <cell r="R33">
            <v>508.62800104384098</v>
          </cell>
          <cell r="S33">
            <v>25.360940762004201</v>
          </cell>
          <cell r="T33">
            <v>26.8185673277662</v>
          </cell>
        </row>
        <row r="34">
          <cell r="B34">
            <v>3815.75226244344</v>
          </cell>
          <cell r="C34">
            <v>7.0574095022624403</v>
          </cell>
          <cell r="D34">
            <v>29.849759615384599</v>
          </cell>
          <cell r="E34">
            <v>3318.7217194570098</v>
          </cell>
          <cell r="F34">
            <v>0.31103883861236797</v>
          </cell>
          <cell r="G34">
            <v>2.7488687782805399</v>
          </cell>
          <cell r="H34">
            <v>11.100113122172001</v>
          </cell>
          <cell r="I34">
            <v>7.7672511312217196</v>
          </cell>
          <cell r="J34">
            <v>7444.8529411764703</v>
          </cell>
          <cell r="K34">
            <v>9677.8704751131208</v>
          </cell>
          <cell r="L34">
            <v>963.61236802413305</v>
          </cell>
          <cell r="M34">
            <v>215.144230769231</v>
          </cell>
          <cell r="N34">
            <v>1274.4626696832599</v>
          </cell>
          <cell r="O34">
            <v>5.9827488687782804</v>
          </cell>
          <cell r="P34">
            <v>592.90158371040695</v>
          </cell>
          <cell r="Q34">
            <v>9.7808257918552002</v>
          </cell>
          <cell r="R34">
            <v>445.418552036199</v>
          </cell>
          <cell r="S34">
            <v>22.956730769230798</v>
          </cell>
          <cell r="T34">
            <v>26.187782805429901</v>
          </cell>
        </row>
        <row r="35">
          <cell r="B35">
            <v>3781.0068093385198</v>
          </cell>
          <cell r="C35">
            <v>10.169712340188999</v>
          </cell>
          <cell r="D35">
            <v>32.198096164535897</v>
          </cell>
          <cell r="E35">
            <v>12368.5901889939</v>
          </cell>
          <cell r="F35">
            <v>0.30774909672040002</v>
          </cell>
          <cell r="G35">
            <v>2.32629238465814</v>
          </cell>
          <cell r="H35">
            <v>13.8670789327404</v>
          </cell>
          <cell r="I35">
            <v>9.1926070038910499</v>
          </cell>
          <cell r="J35">
            <v>7243.0864369093897</v>
          </cell>
          <cell r="K35">
            <v>11740.8977209561</v>
          </cell>
          <cell r="L35">
            <v>1069.42224847137</v>
          </cell>
          <cell r="M35">
            <v>220.04412173429699</v>
          </cell>
          <cell r="N35">
            <v>1637.3158699277401</v>
          </cell>
          <cell r="O35">
            <v>6.8889834630350197</v>
          </cell>
          <cell r="P35">
            <v>659.22040022234603</v>
          </cell>
          <cell r="Q35">
            <v>10.382330461367401</v>
          </cell>
          <cell r="R35">
            <v>679.28362979432995</v>
          </cell>
          <cell r="S35">
            <v>38.083657587548601</v>
          </cell>
          <cell r="T35">
            <v>34.183053085047298</v>
          </cell>
        </row>
        <row r="36">
          <cell r="B36">
            <v>4256.3888097949903</v>
          </cell>
          <cell r="C36">
            <v>9.7388418280182201</v>
          </cell>
          <cell r="D36">
            <v>36.2653936503417</v>
          </cell>
          <cell r="E36">
            <v>11940.311788154901</v>
          </cell>
          <cell r="F36">
            <v>0.29144718109339401</v>
          </cell>
          <cell r="G36">
            <v>2.8213090831435101</v>
          </cell>
          <cell r="H36">
            <v>11.862631691343999</v>
          </cell>
          <cell r="I36">
            <v>10.6830153758542</v>
          </cell>
          <cell r="J36">
            <v>7372.4017653758601</v>
          </cell>
          <cell r="K36">
            <v>13025.430666287</v>
          </cell>
          <cell r="L36">
            <v>1379.34225512529</v>
          </cell>
          <cell r="M36">
            <v>211.738325740319</v>
          </cell>
          <cell r="N36">
            <v>1870.2484339407699</v>
          </cell>
          <cell r="O36">
            <v>5.8412229498860997</v>
          </cell>
          <cell r="P36">
            <v>888.59624145785904</v>
          </cell>
          <cell r="Q36">
            <v>11.8466151765376</v>
          </cell>
          <cell r="R36">
            <v>732.75555239180005</v>
          </cell>
          <cell r="S36">
            <v>42.663991315489803</v>
          </cell>
          <cell r="T36">
            <v>33.826879271070602</v>
          </cell>
        </row>
        <row r="37">
          <cell r="B37">
            <v>3995.0044903457601</v>
          </cell>
          <cell r="C37">
            <v>7.1851145038167896</v>
          </cell>
          <cell r="D37">
            <v>32.365008980691499</v>
          </cell>
          <cell r="E37">
            <v>15494.4993264481</v>
          </cell>
          <cell r="F37">
            <v>0.28625954198473302</v>
          </cell>
          <cell r="G37">
            <v>2.5342388863942502</v>
          </cell>
          <cell r="H37">
            <v>11.7871576111361</v>
          </cell>
          <cell r="I37">
            <v>11.0294117647059</v>
          </cell>
          <cell r="J37">
            <v>7457.9030085316599</v>
          </cell>
          <cell r="K37">
            <v>9965.1998203861694</v>
          </cell>
          <cell r="L37">
            <v>963.85271665918299</v>
          </cell>
          <cell r="M37">
            <v>247.36192186798399</v>
          </cell>
          <cell r="N37">
            <v>1753.08711270768</v>
          </cell>
          <cell r="O37">
            <v>5.5568028738212796</v>
          </cell>
          <cell r="P37">
            <v>1340.36820835204</v>
          </cell>
          <cell r="Q37">
            <v>9.6479568926807406</v>
          </cell>
          <cell r="R37">
            <v>765.40749887741299</v>
          </cell>
          <cell r="S37">
            <v>49.775482712168802</v>
          </cell>
          <cell r="T37">
            <v>29.220925011225901</v>
          </cell>
        </row>
        <row r="38">
          <cell r="B38">
            <v>8155.1499348109501</v>
          </cell>
          <cell r="C38">
            <v>10.2037157757497</v>
          </cell>
          <cell r="D38">
            <v>33.233213820078198</v>
          </cell>
          <cell r="E38">
            <v>106584.09387223001</v>
          </cell>
          <cell r="F38">
            <v>0.63705997392438096</v>
          </cell>
          <cell r="G38">
            <v>8.2024119947848799</v>
          </cell>
          <cell r="H38">
            <v>25.366688396349399</v>
          </cell>
          <cell r="I38">
            <v>16.3298565840939</v>
          </cell>
          <cell r="J38">
            <v>17584.7457627119</v>
          </cell>
          <cell r="K38">
            <v>13168.187744458901</v>
          </cell>
          <cell r="L38">
            <v>9566.4928292046898</v>
          </cell>
          <cell r="M38">
            <v>421.44719687092601</v>
          </cell>
          <cell r="N38">
            <v>2310.7887874837002</v>
          </cell>
          <cell r="O38">
            <v>32.257714037375102</v>
          </cell>
          <cell r="P38">
            <v>378.31377661886103</v>
          </cell>
          <cell r="Q38">
            <v>3.76059322033898</v>
          </cell>
          <cell r="R38">
            <v>699.96740547588001</v>
          </cell>
          <cell r="S38">
            <v>168.07909604519801</v>
          </cell>
          <cell r="T38">
            <v>36.082138200782303</v>
          </cell>
        </row>
        <row r="39">
          <cell r="B39">
            <v>7308.2706766917299</v>
          </cell>
          <cell r="C39">
            <v>7.5197368421052602</v>
          </cell>
          <cell r="D39">
            <v>31.8256578947368</v>
          </cell>
          <cell r="E39">
            <v>103601.503759399</v>
          </cell>
          <cell r="F39">
            <v>0.59210526315789502</v>
          </cell>
          <cell r="G39">
            <v>8.9492481203007497</v>
          </cell>
          <cell r="H39">
            <v>23.684210526315798</v>
          </cell>
          <cell r="I39">
            <v>14.1259398496241</v>
          </cell>
          <cell r="J39">
            <v>18025.3759398496</v>
          </cell>
          <cell r="K39">
            <v>12205.827067669199</v>
          </cell>
          <cell r="L39">
            <v>9339.4736842105303</v>
          </cell>
          <cell r="M39">
            <v>460.99624060150398</v>
          </cell>
          <cell r="N39">
            <v>1990.40413533835</v>
          </cell>
          <cell r="O39">
            <v>29.605263157894701</v>
          </cell>
          <cell r="P39">
            <v>475.54511278195503</v>
          </cell>
          <cell r="Q39">
            <v>3.8571428571428599</v>
          </cell>
          <cell r="R39">
            <v>752.81954887218103</v>
          </cell>
          <cell r="S39">
            <v>193.872180451128</v>
          </cell>
          <cell r="T39">
            <v>33.338345864661697</v>
          </cell>
        </row>
        <row r="40">
          <cell r="B40">
            <v>8823.0229591836705</v>
          </cell>
          <cell r="C40">
            <v>5.2490433673469399</v>
          </cell>
          <cell r="D40">
            <v>35.565210459183703</v>
          </cell>
          <cell r="E40">
            <v>97686.543367346894</v>
          </cell>
          <cell r="F40">
            <v>0.57405133928571395</v>
          </cell>
          <cell r="G40">
            <v>8.3628826530612201</v>
          </cell>
          <cell r="H40">
            <v>24.308035714285701</v>
          </cell>
          <cell r="I40">
            <v>13.3163265306122</v>
          </cell>
          <cell r="J40">
            <v>17033.801020408198</v>
          </cell>
          <cell r="K40">
            <v>9224.5695153061206</v>
          </cell>
          <cell r="L40">
            <v>9802.1364795918398</v>
          </cell>
          <cell r="M40">
            <v>482.93207908163299</v>
          </cell>
          <cell r="N40">
            <v>1858.6176658163299</v>
          </cell>
          <cell r="O40">
            <v>30.899234693877599</v>
          </cell>
          <cell r="P40">
            <v>390.01913265306098</v>
          </cell>
          <cell r="Q40">
            <v>2.70129145408163</v>
          </cell>
          <cell r="R40">
            <v>672.27359693877497</v>
          </cell>
          <cell r="S40">
            <v>175.82908163265299</v>
          </cell>
          <cell r="T40">
            <v>35.428890306122497</v>
          </cell>
        </row>
        <row r="41">
          <cell r="B41">
            <v>8970.7078925956102</v>
          </cell>
          <cell r="C41">
            <v>6.0048820179007301</v>
          </cell>
          <cell r="D41">
            <v>37.457282343368597</v>
          </cell>
          <cell r="E41">
            <v>109991.86330349901</v>
          </cell>
          <cell r="F41">
            <v>0.52698331977217305</v>
          </cell>
          <cell r="G41">
            <v>8.0296989422294498</v>
          </cell>
          <cell r="H41">
            <v>23.259764035801499</v>
          </cell>
          <cell r="I41">
            <v>13.3553702196908</v>
          </cell>
          <cell r="J41">
            <v>17210.9438567941</v>
          </cell>
          <cell r="K41">
            <v>8452.6037428803902</v>
          </cell>
          <cell r="L41">
            <v>9771.3588283157005</v>
          </cell>
          <cell r="M41">
            <v>362.06265256305898</v>
          </cell>
          <cell r="N41">
            <v>2290.1851098453999</v>
          </cell>
          <cell r="O41">
            <v>27.928193653376699</v>
          </cell>
          <cell r="P41">
            <v>368.10414971521601</v>
          </cell>
          <cell r="Q41">
            <v>3.7438974776240799</v>
          </cell>
          <cell r="R41">
            <v>668.22620016273402</v>
          </cell>
          <cell r="S41">
            <v>191.55207485760801</v>
          </cell>
          <cell r="T41">
            <v>33.219080553295399</v>
          </cell>
        </row>
        <row r="42">
          <cell r="B42">
            <v>8535.4353911890394</v>
          </cell>
          <cell r="C42">
            <v>7.2137910711654598</v>
          </cell>
          <cell r="D42">
            <v>37.325843524384901</v>
          </cell>
          <cell r="E42">
            <v>108886.474141742</v>
          </cell>
          <cell r="F42">
            <v>0.53782967437748597</v>
          </cell>
          <cell r="G42">
            <v>8.98574480624724</v>
          </cell>
          <cell r="H42">
            <v>21.581700309415101</v>
          </cell>
          <cell r="I42">
            <v>12.8959776042434</v>
          </cell>
          <cell r="J42">
            <v>16962.575512008301</v>
          </cell>
          <cell r="K42">
            <v>10873.7291881538</v>
          </cell>
          <cell r="L42">
            <v>10157.6543391778</v>
          </cell>
          <cell r="M42">
            <v>388.81317224104902</v>
          </cell>
          <cell r="N42">
            <v>2182.78510387506</v>
          </cell>
          <cell r="O42">
            <v>31.0906880801532</v>
          </cell>
          <cell r="P42">
            <v>390.249742154118</v>
          </cell>
          <cell r="Q42">
            <v>2.95049359068808</v>
          </cell>
          <cell r="R42">
            <v>724.36275232061303</v>
          </cell>
          <cell r="S42">
            <v>188.57742743480199</v>
          </cell>
          <cell r="T42">
            <v>38.505598939148399</v>
          </cell>
        </row>
        <row r="43">
          <cell r="B43">
            <v>8616.6168442942508</v>
          </cell>
          <cell r="C43">
            <v>7.6954445022095097</v>
          </cell>
          <cell r="D43">
            <v>33.560282362880201</v>
          </cell>
          <cell r="E43">
            <v>100008.123212893</v>
          </cell>
          <cell r="F43">
            <v>0.58740577073043898</v>
          </cell>
          <cell r="G43">
            <v>9.2575383415648602</v>
          </cell>
          <cell r="H43">
            <v>22.554100597868501</v>
          </cell>
          <cell r="I43">
            <v>14.855731739017401</v>
          </cell>
          <cell r="J43">
            <v>17112.360280738201</v>
          </cell>
          <cell r="K43">
            <v>8955.1111255523792</v>
          </cell>
          <cell r="L43">
            <v>11202.2355081882</v>
          </cell>
          <cell r="M43">
            <v>386.16129451520698</v>
          </cell>
          <cell r="N43">
            <v>1884.23609305953</v>
          </cell>
          <cell r="O43">
            <v>29.864992201715602</v>
          </cell>
          <cell r="P43">
            <v>390.49909020015599</v>
          </cell>
          <cell r="Q43">
            <v>2.5588120613465</v>
          </cell>
          <cell r="R43">
            <v>628.73667793085497</v>
          </cell>
          <cell r="S43">
            <v>181.31011177540901</v>
          </cell>
          <cell r="T43">
            <v>35.509000519885603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9E2C-5DB4-4F81-A27B-D4461ABE9622}">
  <dimension ref="A1:AQ43"/>
  <sheetViews>
    <sheetView topLeftCell="A28" workbookViewId="0">
      <selection activeCell="C59" sqref="C59"/>
    </sheetView>
  </sheetViews>
  <sheetFormatPr baseColWidth="10" defaultColWidth="8.6640625" defaultRowHeight="15" x14ac:dyDescent="0.2"/>
  <cols>
    <col min="1" max="1" width="22.1640625" customWidth="1"/>
    <col min="2" max="2" width="10" customWidth="1"/>
    <col min="3" max="5" width="12" customWidth="1"/>
    <col min="6" max="43" width="10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 t="s">
        <v>43</v>
      </c>
      <c r="B2" s="3" t="s">
        <v>44</v>
      </c>
      <c r="C2" s="3" t="s">
        <v>45</v>
      </c>
      <c r="D2" s="3" t="s">
        <v>46</v>
      </c>
      <c r="E2" s="3"/>
      <c r="F2" s="4">
        <f>[1]PhaseI_bioavailable!B2</f>
        <v>4.8423379999999998</v>
      </c>
      <c r="G2" s="4">
        <f>[1]PhaseI_bioavailable!C2</f>
        <v>13.391619</v>
      </c>
      <c r="H2" s="4">
        <f>[1]PhaseI_bioavailable!D2</f>
        <v>0</v>
      </c>
      <c r="I2" s="4">
        <f>[1]PhaseI_bioavailable!E2</f>
        <v>67366.089642999999</v>
      </c>
      <c r="J2" s="4">
        <f>[1]PhaseI_bioavailable!F2</f>
        <v>1.2719009999999999</v>
      </c>
      <c r="K2" s="4">
        <f>[1]PhaseI_bioavailable!G2</f>
        <v>0</v>
      </c>
      <c r="L2" s="4">
        <f>[1]PhaseI_bioavailable!H2</f>
        <v>0</v>
      </c>
      <c r="M2" s="4">
        <f>[1]PhaseI_bioavailable!I2</f>
        <v>0.51698999999999995</v>
      </c>
      <c r="N2" s="4">
        <f>[1]PhaseI_bioavailable!J2</f>
        <v>2.6090810000000002</v>
      </c>
      <c r="O2" s="4">
        <f>[1]PhaseI_bioavailable!K2</f>
        <v>766.21786999999995</v>
      </c>
      <c r="P2" s="4">
        <f>[1]PhaseI_bioavailable!L2</f>
        <v>1163.37355</v>
      </c>
      <c r="Q2" s="4">
        <f>[1]PhaseI_bioavailable!M2</f>
        <v>43.235996999999998</v>
      </c>
      <c r="R2" s="4">
        <f>[1]PhaseI_bioavailable!N2</f>
        <v>477.58932199999998</v>
      </c>
      <c r="S2" s="4">
        <f>[1]PhaseI_bioavailable!O2</f>
        <v>0.13572300000000001</v>
      </c>
      <c r="T2" s="4">
        <f>[1]PhaseI_bioavailable!P2</f>
        <v>6.5745760000000004</v>
      </c>
      <c r="U2" s="4">
        <f>[1]PhaseI_bioavailable!Q2</f>
        <v>0.33524500000000002</v>
      </c>
      <c r="V2" s="4">
        <f>[1]PhaseI_bioavailable!R2</f>
        <v>1452.118669</v>
      </c>
      <c r="W2" s="4">
        <f>[1]PhaseI_bioavailable!S2</f>
        <v>864.25365699999998</v>
      </c>
      <c r="X2" s="4">
        <f>[1]PhaseI_bioavailable!T2</f>
        <v>0.51955499999999999</v>
      </c>
      <c r="Y2" s="4">
        <f>[1]PseudoTotal!B2</f>
        <v>7778.3069186223702</v>
      </c>
      <c r="Z2" s="4">
        <f>[1]PseudoTotal!C2</f>
        <v>104.57939652544999</v>
      </c>
      <c r="AA2" s="4">
        <f>[1]PseudoTotal!D2</f>
        <v>55.101341054556499</v>
      </c>
      <c r="AB2" s="4">
        <f>[1]PseudoTotal!E2</f>
        <v>197215.025906736</v>
      </c>
      <c r="AC2" s="4">
        <f>[1]PseudoTotal!F2</f>
        <v>1.8573986589454401</v>
      </c>
      <c r="AD2" s="4">
        <f>[1]PseudoTotal!G2</f>
        <v>3.67456568119476</v>
      </c>
      <c r="AE2" s="4">
        <f>[1]PseudoTotal!H2</f>
        <v>7.1748323681804296</v>
      </c>
      <c r="AF2" s="4">
        <f>[1]PseudoTotal!I2</f>
        <v>5.5072767448948499</v>
      </c>
      <c r="AG2" s="4">
        <f>[1]PseudoTotal!J2</f>
        <v>7920.6034745504403</v>
      </c>
      <c r="AH2" s="4">
        <f>[1]PseudoTotal!K2</f>
        <v>9107.9870145372497</v>
      </c>
      <c r="AI2" s="4">
        <f>[1]PseudoTotal!L2</f>
        <v>5606.1414202986898</v>
      </c>
      <c r="AJ2" s="4">
        <f>[1]PseudoTotal!M2</f>
        <v>4107.7415422127397</v>
      </c>
      <c r="AK2" s="4">
        <f>[1]PseudoTotal!N2</f>
        <v>2586.9084662731202</v>
      </c>
      <c r="AL2" s="4">
        <f>[1]PseudoTotal!O2</f>
        <v>9.0486894239561106</v>
      </c>
      <c r="AM2" s="4">
        <f>[1]PseudoTotal!P2</f>
        <v>228.66199329472701</v>
      </c>
      <c r="AN2" s="4">
        <f>[1]PseudoTotal!Q2</f>
        <v>28.699329472721701</v>
      </c>
      <c r="AO2" s="4">
        <f>[1]PseudoTotal!R2</f>
        <v>6399.3447119780603</v>
      </c>
      <c r="AP2" s="4">
        <f>[1]PseudoTotal!S2</f>
        <v>2630.82901554404</v>
      </c>
      <c r="AQ2" s="4">
        <f>[1]PseudoTotal!T2</f>
        <v>24.137267601341101</v>
      </c>
    </row>
    <row r="3" spans="1:43" x14ac:dyDescent="0.2">
      <c r="A3" s="2" t="s">
        <v>47</v>
      </c>
      <c r="B3" s="3" t="s">
        <v>44</v>
      </c>
      <c r="C3" s="3" t="s">
        <v>45</v>
      </c>
      <c r="D3" s="3" t="s">
        <v>48</v>
      </c>
      <c r="E3" s="3"/>
      <c r="F3" s="4">
        <f>[1]PhaseI_bioavailable!B3</f>
        <v>6.1625019999999999</v>
      </c>
      <c r="G3" s="4">
        <f>[1]PhaseI_bioavailable!C3</f>
        <v>11.702797</v>
      </c>
      <c r="H3" s="4">
        <f>[1]PhaseI_bioavailable!D3</f>
        <v>0</v>
      </c>
      <c r="I3" s="4">
        <f>[1]PhaseI_bioavailable!E3</f>
        <v>64945.667162999998</v>
      </c>
      <c r="J3" s="4">
        <f>[1]PhaseI_bioavailable!F3</f>
        <v>1.144906</v>
      </c>
      <c r="K3" s="4">
        <f>[1]PhaseI_bioavailable!G3</f>
        <v>0</v>
      </c>
      <c r="L3" s="4">
        <f>[1]PhaseI_bioavailable!H3</f>
        <v>0</v>
      </c>
      <c r="M3" s="4">
        <f>[1]PhaseI_bioavailable!I3</f>
        <v>0.47106799999999999</v>
      </c>
      <c r="N3" s="4">
        <f>[1]PhaseI_bioavailable!J3</f>
        <v>4.9302219999999997</v>
      </c>
      <c r="O3" s="4">
        <f>[1]PhaseI_bioavailable!K3</f>
        <v>746.31805399999996</v>
      </c>
      <c r="P3" s="4">
        <f>[1]PhaseI_bioavailable!L3</f>
        <v>1170.7209439999999</v>
      </c>
      <c r="Q3" s="4">
        <f>[1]PhaseI_bioavailable!M3</f>
        <v>38.810744999999997</v>
      </c>
      <c r="R3" s="4">
        <f>[1]PhaseI_bioavailable!N3</f>
        <v>523.47068200000001</v>
      </c>
      <c r="S3" s="4">
        <f>[1]PhaseI_bioavailable!O3</f>
        <v>0.36052699999999999</v>
      </c>
      <c r="T3" s="4">
        <f>[1]PhaseI_bioavailable!P3</f>
        <v>5.3174469999999996</v>
      </c>
      <c r="U3" s="4">
        <f>[1]PhaseI_bioavailable!Q3</f>
        <v>0.23280899999999999</v>
      </c>
      <c r="V3" s="4">
        <f>[1]PhaseI_bioavailable!R3</f>
        <v>1404.0487619999999</v>
      </c>
      <c r="W3" s="4">
        <f>[1]PhaseI_bioavailable!S3</f>
        <v>829.94097899999997</v>
      </c>
      <c r="X3" s="4">
        <f>[1]PhaseI_bioavailable!T3</f>
        <v>0.38568000000000002</v>
      </c>
      <c r="Y3" s="4">
        <f>[1]PseudoTotal!B3</f>
        <v>9792.4885592551691</v>
      </c>
      <c r="Z3" s="4">
        <f>[1]PseudoTotal!C3</f>
        <v>124.980274577876</v>
      </c>
      <c r="AA3" s="4">
        <f>[1]PseudoTotal!D3</f>
        <v>64.087896480984696</v>
      </c>
      <c r="AB3" s="4">
        <f>[1]PseudoTotal!E3</f>
        <v>194133.65946031301</v>
      </c>
      <c r="AC3" s="4">
        <f>[1]PseudoTotal!F3</f>
        <v>1.99009783809374</v>
      </c>
      <c r="AD3" s="4">
        <f>[1]PseudoTotal!G3</f>
        <v>4.5222502761559102</v>
      </c>
      <c r="AE3" s="4">
        <f>[1]PseudoTotal!H3</f>
        <v>7.2260138866971699</v>
      </c>
      <c r="AF3" s="4">
        <f>[1]PseudoTotal!I3</f>
        <v>4.6024341170901097</v>
      </c>
      <c r="AG3" s="4">
        <f>[1]PseudoTotal!J3</f>
        <v>7800.6154331702701</v>
      </c>
      <c r="AH3" s="4">
        <f>[1]PseudoTotal!K3</f>
        <v>7601.7831781600098</v>
      </c>
      <c r="AI3" s="4">
        <f>[1]PseudoTotal!L3</f>
        <v>4853.6373678396703</v>
      </c>
      <c r="AJ3" s="4">
        <f>[1]PseudoTotal!M3</f>
        <v>3240.4923465362199</v>
      </c>
      <c r="AK3" s="4">
        <f>[1]PseudoTotal!N3</f>
        <v>2696.30740097838</v>
      </c>
      <c r="AL3" s="4">
        <f>[1]PseudoTotal!O3</f>
        <v>8.8604623638945892</v>
      </c>
      <c r="AM3" s="4">
        <f>[1]PseudoTotal!P3</f>
        <v>227.556414707275</v>
      </c>
      <c r="AN3" s="4">
        <f>[1]PseudoTotal!Q3</f>
        <v>27.044737257377299</v>
      </c>
      <c r="AO3" s="4">
        <f>[1]PseudoTotal!R3</f>
        <v>6986.4683604229103</v>
      </c>
      <c r="AP3" s="4">
        <f>[1]PseudoTotal!S3</f>
        <v>2299.1163010888399</v>
      </c>
      <c r="AQ3" s="4">
        <f>[1]PseudoTotal!T3</f>
        <v>28.069078428278399</v>
      </c>
    </row>
    <row r="4" spans="1:43" x14ac:dyDescent="0.2">
      <c r="A4" s="2" t="s">
        <v>49</v>
      </c>
      <c r="B4" s="3" t="s">
        <v>44</v>
      </c>
      <c r="C4" s="3" t="s">
        <v>45</v>
      </c>
      <c r="D4" s="3" t="s">
        <v>50</v>
      </c>
      <c r="E4" s="3"/>
      <c r="F4" s="4">
        <f>[1]PhaseI_bioavailable!B4</f>
        <v>6.3218189999999996</v>
      </c>
      <c r="G4" s="4">
        <f>[1]PhaseI_bioavailable!C4</f>
        <v>13.924666</v>
      </c>
      <c r="H4" s="4">
        <f>[1]PhaseI_bioavailable!D4</f>
        <v>0</v>
      </c>
      <c r="I4" s="4">
        <f>[1]PhaseI_bioavailable!E4</f>
        <v>70774.749754000004</v>
      </c>
      <c r="J4" s="4">
        <f>[1]PhaseI_bioavailable!F4</f>
        <v>1.2891280000000001</v>
      </c>
      <c r="K4" s="4">
        <f>[1]PhaseI_bioavailable!G4</f>
        <v>0</v>
      </c>
      <c r="L4" s="4">
        <f>[1]PhaseI_bioavailable!H4</f>
        <v>0</v>
      </c>
      <c r="M4" s="4">
        <f>[1]PhaseI_bioavailable!I4</f>
        <v>0.33876099999999998</v>
      </c>
      <c r="N4" s="4">
        <f>[1]PhaseI_bioavailable!J4</f>
        <v>1.8237570000000001</v>
      </c>
      <c r="O4" s="4">
        <f>[1]PhaseI_bioavailable!K4</f>
        <v>390.08274</v>
      </c>
      <c r="P4" s="4">
        <f>[1]PhaseI_bioavailable!L4</f>
        <v>1243.996991</v>
      </c>
      <c r="Q4" s="4">
        <f>[1]PhaseI_bioavailable!M4</f>
        <v>47.040444000000001</v>
      </c>
      <c r="R4" s="4">
        <f>[1]PhaseI_bioavailable!N4</f>
        <v>780.65150700000004</v>
      </c>
      <c r="S4" s="4">
        <f>[1]PhaseI_bioavailable!O4</f>
        <v>0.23836099999999999</v>
      </c>
      <c r="T4" s="4">
        <f>[1]PhaseI_bioavailable!P4</f>
        <v>6.832147</v>
      </c>
      <c r="U4" s="4">
        <f>[1]PhaseI_bioavailable!Q4</f>
        <v>0.246589</v>
      </c>
      <c r="V4" s="4">
        <f>[1]PhaseI_bioavailable!R4</f>
        <v>1442.3421860000001</v>
      </c>
      <c r="W4" s="4">
        <f>[1]PhaseI_bioavailable!S4</f>
        <v>866.51622999999995</v>
      </c>
      <c r="X4" s="4">
        <f>[1]PhaseI_bioavailable!T4</f>
        <v>0.37690200000000001</v>
      </c>
      <c r="Y4" s="4">
        <f>[1]PseudoTotal!B4</f>
        <v>7604.5418950665598</v>
      </c>
      <c r="Z4" s="4">
        <f>[1]PseudoTotal!C4</f>
        <v>107.760375880971</v>
      </c>
      <c r="AA4" s="4">
        <f>[1]PseudoTotal!D4</f>
        <v>68.188332028191098</v>
      </c>
      <c r="AB4" s="4">
        <f>[1]PseudoTotal!E4</f>
        <v>185462.020360219</v>
      </c>
      <c r="AC4" s="4">
        <f>[1]PseudoTotal!F4</f>
        <v>2.0321064996084601</v>
      </c>
      <c r="AD4" s="4">
        <f>[1]PseudoTotal!G4</f>
        <v>3.40336726703211</v>
      </c>
      <c r="AE4" s="4">
        <f>[1]PseudoTotal!H4</f>
        <v>6.8539545810493401</v>
      </c>
      <c r="AF4" s="4">
        <f>[1]PseudoTotal!I4</f>
        <v>5.7321848081440896</v>
      </c>
      <c r="AG4" s="4">
        <f>[1]PseudoTotal!J4</f>
        <v>6226.7032106499601</v>
      </c>
      <c r="AH4" s="4">
        <f>[1]PseudoTotal!K4</f>
        <v>9764.6828504306995</v>
      </c>
      <c r="AI4" s="4">
        <f>[1]PseudoTotal!L4</f>
        <v>5453.2106499608499</v>
      </c>
      <c r="AJ4" s="4">
        <f>[1]PseudoTotal!M4</f>
        <v>3425.2153484729802</v>
      </c>
      <c r="AK4" s="4">
        <f>[1]PseudoTotal!N4</f>
        <v>2782.2239624119002</v>
      </c>
      <c r="AL4" s="4">
        <f>[1]PseudoTotal!O4</f>
        <v>10.6509397024276</v>
      </c>
      <c r="AM4" s="4">
        <f>[1]PseudoTotal!P4</f>
        <v>232.11824588880199</v>
      </c>
      <c r="AN4" s="4">
        <f>[1]PseudoTotal!Q4</f>
        <v>14.4162098668755</v>
      </c>
      <c r="AO4" s="4">
        <f>[1]PseudoTotal!R4</f>
        <v>6922.0830070477696</v>
      </c>
      <c r="AP4" s="4">
        <f>[1]PseudoTotal!S4</f>
        <v>2429.1307752544999</v>
      </c>
      <c r="AQ4" s="4">
        <f>[1]PseudoTotal!T4</f>
        <v>30.362960062646799</v>
      </c>
    </row>
    <row r="5" spans="1:43" x14ac:dyDescent="0.2">
      <c r="A5" s="2" t="s">
        <v>51</v>
      </c>
      <c r="B5" s="3" t="s">
        <v>44</v>
      </c>
      <c r="C5" s="3" t="s">
        <v>52</v>
      </c>
      <c r="D5" s="3" t="s">
        <v>46</v>
      </c>
      <c r="E5" s="3"/>
      <c r="F5" s="4">
        <f>[1]PhaseI_bioavailable!B5</f>
        <v>8.8171630000000007</v>
      </c>
      <c r="G5" s="4">
        <f>[1]PhaseI_bioavailable!C5</f>
        <v>15.073848</v>
      </c>
      <c r="H5" s="4">
        <f>[1]PhaseI_bioavailable!D5</f>
        <v>8.9151999999999995E-2</v>
      </c>
      <c r="I5" s="4">
        <f>[1]PhaseI_bioavailable!E5</f>
        <v>70511.841100000005</v>
      </c>
      <c r="J5" s="4">
        <f>[1]PhaseI_bioavailable!F5</f>
        <v>1.408836</v>
      </c>
      <c r="K5" s="4">
        <f>[1]PhaseI_bioavailable!G5</f>
        <v>0</v>
      </c>
      <c r="L5" s="4">
        <f>[1]PhaseI_bioavailable!H5</f>
        <v>0</v>
      </c>
      <c r="M5" s="4">
        <f>[1]PhaseI_bioavailable!I5</f>
        <v>0.80659499999999995</v>
      </c>
      <c r="N5" s="4">
        <f>[1]PhaseI_bioavailable!J5</f>
        <v>2.5971479999999998</v>
      </c>
      <c r="O5" s="4">
        <f>[1]PhaseI_bioavailable!K5</f>
        <v>630.02164500000003</v>
      </c>
      <c r="P5" s="4">
        <f>[1]PhaseI_bioavailable!L5</f>
        <v>1300.2291829999999</v>
      </c>
      <c r="Q5" s="4">
        <f>[1]PhaseI_bioavailable!M5</f>
        <v>101.60427799999999</v>
      </c>
      <c r="R5" s="4">
        <f>[1]PhaseI_bioavailable!N5</f>
        <v>718.23274800000002</v>
      </c>
      <c r="S5" s="4">
        <f>[1]PhaseI_bioavailable!O5</f>
        <v>0.21010899999999999</v>
      </c>
      <c r="T5" s="4">
        <f>[1]PhaseI_bioavailable!P5</f>
        <v>4.0616250000000003</v>
      </c>
      <c r="U5" s="4">
        <f>[1]PhaseI_bioavailable!Q5</f>
        <v>0.65304300000000004</v>
      </c>
      <c r="V5" s="4">
        <f>[1]PhaseI_bioavailable!R5</f>
        <v>1647.3134709999999</v>
      </c>
      <c r="W5" s="4">
        <f>[1]PhaseI_bioavailable!S5</f>
        <v>960.91163700000004</v>
      </c>
      <c r="X5" s="4">
        <f>[1]PhaseI_bioavailable!T5</f>
        <v>0.93417399999999995</v>
      </c>
      <c r="Y5" s="4">
        <f>[1]PseudoTotal!B5</f>
        <v>11232.605729877199</v>
      </c>
      <c r="Z5" s="4">
        <f>[1]PseudoTotal!C5</f>
        <v>98.671555252387407</v>
      </c>
      <c r="AA5" s="4">
        <f>[1]PseudoTotal!D5</f>
        <v>67.960436562073696</v>
      </c>
      <c r="AB5" s="4">
        <f>[1]PseudoTotal!E5</f>
        <v>165818.55388813099</v>
      </c>
      <c r="AC5" s="4">
        <f>[1]PseudoTotal!F5</f>
        <v>2.2119372442019101</v>
      </c>
      <c r="AD5" s="4">
        <f>[1]PseudoTotal!G5</f>
        <v>5.4346862210095503</v>
      </c>
      <c r="AE5" s="4">
        <f>[1]PseudoTotal!H5</f>
        <v>9.5463847203274206</v>
      </c>
      <c r="AF5" s="4">
        <f>[1]PseudoTotal!I5</f>
        <v>7.9502046384720302</v>
      </c>
      <c r="AG5" s="4">
        <f>[1]PseudoTotal!J5</f>
        <v>11038.1991814461</v>
      </c>
      <c r="AH5" s="4">
        <f>[1]PseudoTotal!K5</f>
        <v>12063.4379263302</v>
      </c>
      <c r="AI5" s="4">
        <f>[1]PseudoTotal!L5</f>
        <v>5890.5184174624801</v>
      </c>
      <c r="AJ5" s="4">
        <f>[1]PseudoTotal!M5</f>
        <v>3626.7053206002702</v>
      </c>
      <c r="AK5" s="4">
        <f>[1]PseudoTotal!N5</f>
        <v>2215.0068212823999</v>
      </c>
      <c r="AL5" s="4">
        <f>[1]PseudoTotal!O5</f>
        <v>9.4727148703956399</v>
      </c>
      <c r="AM5" s="4">
        <f>[1]PseudoTotal!P5</f>
        <v>257.33287858117302</v>
      </c>
      <c r="AN5" s="4">
        <f>[1]PseudoTotal!Q5</f>
        <v>26.8925648021828</v>
      </c>
      <c r="AO5" s="4">
        <f>[1]PseudoTotal!R5</f>
        <v>5639.8362892223704</v>
      </c>
      <c r="AP5" s="4">
        <f>[1]PseudoTotal!S5</f>
        <v>2212.14188267394</v>
      </c>
      <c r="AQ5" s="4">
        <f>[1]PseudoTotal!T5</f>
        <v>27.706002728512999</v>
      </c>
    </row>
    <row r="6" spans="1:43" x14ac:dyDescent="0.2">
      <c r="A6" s="2" t="s">
        <v>53</v>
      </c>
      <c r="B6" s="3" t="s">
        <v>44</v>
      </c>
      <c r="C6" s="3" t="s">
        <v>52</v>
      </c>
      <c r="D6" s="3" t="s">
        <v>48</v>
      </c>
      <c r="E6" s="3"/>
      <c r="F6" s="4">
        <f>[1]PhaseI_bioavailable!B6</f>
        <v>6.3151460000000004</v>
      </c>
      <c r="G6" s="4">
        <f>[1]PhaseI_bioavailable!C6</f>
        <v>10.800345999999999</v>
      </c>
      <c r="H6" s="4">
        <f>[1]PhaseI_bioavailable!D6</f>
        <v>0</v>
      </c>
      <c r="I6" s="4">
        <f>[1]PhaseI_bioavailable!E6</f>
        <v>59636.252483999997</v>
      </c>
      <c r="J6" s="4">
        <f>[1]PhaseI_bioavailable!F6</f>
        <v>1.0670949999999999</v>
      </c>
      <c r="K6" s="4">
        <f>[1]PhaseI_bioavailable!G6</f>
        <v>0</v>
      </c>
      <c r="L6" s="4">
        <f>[1]PhaseI_bioavailable!H6</f>
        <v>0</v>
      </c>
      <c r="M6" s="4">
        <f>[1]PhaseI_bioavailable!I6</f>
        <v>0.488257</v>
      </c>
      <c r="N6" s="4">
        <f>[1]PhaseI_bioavailable!J6</f>
        <v>4.9172140000000004</v>
      </c>
      <c r="O6" s="4">
        <f>[1]PhaseI_bioavailable!K6</f>
        <v>490.97763500000002</v>
      </c>
      <c r="P6" s="4">
        <f>[1]PhaseI_bioavailable!L6</f>
        <v>1097.050283</v>
      </c>
      <c r="Q6" s="4">
        <f>[1]PhaseI_bioavailable!M6</f>
        <v>52.687350000000002</v>
      </c>
      <c r="R6" s="4">
        <f>[1]PhaseI_bioavailable!N6</f>
        <v>477.55871400000001</v>
      </c>
      <c r="S6" s="4">
        <f>[1]PhaseI_bioavailable!O6</f>
        <v>0.24479100000000001</v>
      </c>
      <c r="T6" s="4">
        <f>[1]PhaseI_bioavailable!P6</f>
        <v>3.5712470000000001</v>
      </c>
      <c r="U6" s="4">
        <f>[1]PhaseI_bioavailable!Q6</f>
        <v>0.350298</v>
      </c>
      <c r="V6" s="4">
        <f>[1]PhaseI_bioavailable!R6</f>
        <v>1280.044832</v>
      </c>
      <c r="W6" s="4">
        <f>[1]PhaseI_bioavailable!S6</f>
        <v>798.30862500000001</v>
      </c>
      <c r="X6" s="4">
        <f>[1]PhaseI_bioavailable!T6</f>
        <v>0.54358300000000004</v>
      </c>
      <c r="Y6" s="4">
        <f>[1]PseudoTotal!B6</f>
        <v>11048.4477571116</v>
      </c>
      <c r="Z6" s="4">
        <f>[1]PseudoTotal!C6</f>
        <v>96.468134573304198</v>
      </c>
      <c r="AA6" s="4">
        <f>[1]PseudoTotal!D6</f>
        <v>63.050464989059101</v>
      </c>
      <c r="AB6" s="4">
        <f>[1]PseudoTotal!E6</f>
        <v>164144.55689277899</v>
      </c>
      <c r="AC6" s="4">
        <f>[1]PseudoTotal!F6</f>
        <v>1.92720869803063</v>
      </c>
      <c r="AD6" s="4">
        <f>[1]PseudoTotal!G6</f>
        <v>5.33267231947484</v>
      </c>
      <c r="AE6" s="4">
        <f>[1]PseudoTotal!H6</f>
        <v>10.430456783369801</v>
      </c>
      <c r="AF6" s="4">
        <f>[1]PseudoTotal!I6</f>
        <v>10.718681619255999</v>
      </c>
      <c r="AG6" s="4">
        <f>[1]PseudoTotal!J6</f>
        <v>9800.67013129103</v>
      </c>
      <c r="AH6" s="4">
        <f>[1]PseudoTotal!K6</f>
        <v>8954.4584245076603</v>
      </c>
      <c r="AI6" s="4">
        <f>[1]PseudoTotal!L6</f>
        <v>5501.9146608315104</v>
      </c>
      <c r="AJ6" s="4">
        <f>[1]PseudoTotal!M6</f>
        <v>3799.2341356674001</v>
      </c>
      <c r="AK6" s="4">
        <f>[1]PseudoTotal!N6</f>
        <v>1708.4245076586401</v>
      </c>
      <c r="AL6" s="4">
        <f>[1]PseudoTotal!O6</f>
        <v>9.4283369803063408</v>
      </c>
      <c r="AM6" s="4">
        <f>[1]PseudoTotal!P6</f>
        <v>267.64394146608299</v>
      </c>
      <c r="AN6" s="4">
        <f>[1]PseudoTotal!Q6</f>
        <v>21.672251094091902</v>
      </c>
      <c r="AO6" s="4">
        <f>[1]PseudoTotal!R6</f>
        <v>5351.1351203501099</v>
      </c>
      <c r="AP6" s="4">
        <f>[1]PseudoTotal!S6</f>
        <v>2175.1230853391698</v>
      </c>
      <c r="AQ6" s="4">
        <f>[1]PseudoTotal!T6</f>
        <v>26.879786652078799</v>
      </c>
    </row>
    <row r="7" spans="1:43" x14ac:dyDescent="0.2">
      <c r="A7" s="2" t="s">
        <v>54</v>
      </c>
      <c r="B7" s="3" t="s">
        <v>44</v>
      </c>
      <c r="C7" s="3" t="s">
        <v>52</v>
      </c>
      <c r="D7" s="3" t="s">
        <v>50</v>
      </c>
      <c r="E7" s="3"/>
      <c r="F7" s="4">
        <f>[1]PhaseI_bioavailable!B7</f>
        <v>5.7894740000000002</v>
      </c>
      <c r="G7" s="4">
        <f>[1]PhaseI_bioavailable!C7</f>
        <v>12.301534999999999</v>
      </c>
      <c r="H7" s="4">
        <f>[1]PhaseI_bioavailable!D7</f>
        <v>0</v>
      </c>
      <c r="I7" s="4">
        <f>[1]PhaseI_bioavailable!E7</f>
        <v>61096.491227999999</v>
      </c>
      <c r="J7" s="4">
        <f>[1]PhaseI_bioavailable!F7</f>
        <v>1.130592</v>
      </c>
      <c r="K7" s="4">
        <f>[1]PhaseI_bioavailable!G7</f>
        <v>0</v>
      </c>
      <c r="L7" s="4">
        <f>[1]PhaseI_bioavailable!H7</f>
        <v>0</v>
      </c>
      <c r="M7" s="4">
        <f>[1]PhaseI_bioavailable!I7</f>
        <v>0.69758799999999999</v>
      </c>
      <c r="N7" s="4">
        <f>[1]PhaseI_bioavailable!J7</f>
        <v>1.683333</v>
      </c>
      <c r="O7" s="4">
        <f>[1]PhaseI_bioavailable!K7</f>
        <v>742.434211</v>
      </c>
      <c r="P7" s="4">
        <f>[1]PhaseI_bioavailable!L7</f>
        <v>1130.153509</v>
      </c>
      <c r="Q7" s="4">
        <f>[1]PhaseI_bioavailable!M7</f>
        <v>55.756579000000002</v>
      </c>
      <c r="R7" s="4">
        <f>[1]PhaseI_bioavailable!N7</f>
        <v>431.25</v>
      </c>
      <c r="S7" s="4">
        <f>[1]PhaseI_bioavailable!O7</f>
        <v>0.23905699999999999</v>
      </c>
      <c r="T7" s="4">
        <f>[1]PhaseI_bioavailable!P7</f>
        <v>3.2026319999999999</v>
      </c>
      <c r="U7" s="4">
        <f>[1]PhaseI_bioavailable!Q7</f>
        <v>0.38733600000000001</v>
      </c>
      <c r="V7" s="4">
        <f>[1]PhaseI_bioavailable!R7</f>
        <v>1383.6622809999999</v>
      </c>
      <c r="W7" s="4">
        <f>[1]PhaseI_bioavailable!S7</f>
        <v>825.10964899999999</v>
      </c>
      <c r="X7" s="4">
        <f>[1]PhaseI_bioavailable!T7</f>
        <v>0.75328899999999999</v>
      </c>
      <c r="Y7" s="4">
        <f>[1]PseudoTotal!B7</f>
        <v>11210.1063829787</v>
      </c>
      <c r="Z7" s="4">
        <f>[1]PseudoTotal!C7</f>
        <v>109.659574468085</v>
      </c>
      <c r="AA7" s="4">
        <f>[1]PseudoTotal!D7</f>
        <v>78.670212765957402</v>
      </c>
      <c r="AB7" s="4">
        <f>[1]PseudoTotal!E7</f>
        <v>125202.127659575</v>
      </c>
      <c r="AC7" s="4">
        <f>[1]PseudoTotal!F7</f>
        <v>1.7808510638297901</v>
      </c>
      <c r="AD7" s="4">
        <f>[1]PseudoTotal!G7</f>
        <v>5.9505319148936202</v>
      </c>
      <c r="AE7" s="4">
        <f>[1]PseudoTotal!H7</f>
        <v>8.2446808510638299</v>
      </c>
      <c r="AF7" s="4">
        <f>[1]PseudoTotal!I7</f>
        <v>9.8351063829787204</v>
      </c>
      <c r="AG7" s="4">
        <f>[1]PseudoTotal!J7</f>
        <v>8842.0212765957494</v>
      </c>
      <c r="AH7" s="4">
        <f>[1]PseudoTotal!K7</f>
        <v>7664.3617021276596</v>
      </c>
      <c r="AI7" s="4">
        <f>[1]PseudoTotal!L7</f>
        <v>4981.9148936170204</v>
      </c>
      <c r="AJ7" s="4">
        <f>[1]PseudoTotal!M7</f>
        <v>3781.91489361702</v>
      </c>
      <c r="AK7" s="4">
        <f>[1]PseudoTotal!N7</f>
        <v>1932.6861702127701</v>
      </c>
      <c r="AL7" s="4">
        <f>[1]PseudoTotal!O7</f>
        <v>11.913829787234</v>
      </c>
      <c r="AM7" s="4">
        <f>[1]PseudoTotal!P7</f>
        <v>263.244680851064</v>
      </c>
      <c r="AN7" s="4">
        <f>[1]PseudoTotal!Q7</f>
        <v>22.021276595744698</v>
      </c>
      <c r="AO7" s="4">
        <f>[1]PseudoTotal!R7</f>
        <v>5215.4255319148897</v>
      </c>
      <c r="AP7" s="4">
        <f>[1]PseudoTotal!S7</f>
        <v>2101.4893617021298</v>
      </c>
      <c r="AQ7" s="4">
        <f>[1]PseudoTotal!T7</f>
        <v>30.5159574468085</v>
      </c>
    </row>
    <row r="8" spans="1:43" x14ac:dyDescent="0.2">
      <c r="A8" s="2" t="s">
        <v>55</v>
      </c>
      <c r="B8" s="3" t="s">
        <v>56</v>
      </c>
      <c r="C8" s="3" t="s">
        <v>45</v>
      </c>
      <c r="D8" s="3" t="s">
        <v>46</v>
      </c>
      <c r="E8" s="3" t="s">
        <v>57</v>
      </c>
      <c r="F8" s="4">
        <f>[1]PhaseI_bioavailable!B8</f>
        <v>34.528950999999999</v>
      </c>
      <c r="G8" s="4">
        <f>[1]PhaseI_bioavailable!C8</f>
        <v>0.50863599999999998</v>
      </c>
      <c r="H8" s="4">
        <f>[1]PhaseI_bioavailable!D8</f>
        <v>28.328354000000001</v>
      </c>
      <c r="I8" s="4">
        <f>[1]PhaseI_bioavailable!E8</f>
        <v>1911.9647179999999</v>
      </c>
      <c r="J8" s="4">
        <f>[1]PhaseI_bioavailable!F8</f>
        <v>8.8650000000000007E-2</v>
      </c>
      <c r="K8" s="4">
        <f>[1]PhaseI_bioavailable!G8</f>
        <v>7.9259999999999997E-2</v>
      </c>
      <c r="L8" s="4">
        <f>[1]PhaseI_bioavailable!H8</f>
        <v>7.5902999999999998E-2</v>
      </c>
      <c r="M8" s="4">
        <f>[1]PhaseI_bioavailable!I8</f>
        <v>0.66820299999999999</v>
      </c>
      <c r="N8" s="4">
        <f>[1]PhaseI_bioavailable!J8</f>
        <v>11.529377999999999</v>
      </c>
      <c r="O8" s="4">
        <f>[1]PhaseI_bioavailable!K8</f>
        <v>259.70123799999999</v>
      </c>
      <c r="P8" s="4">
        <f>[1]PhaseI_bioavailable!L8</f>
        <v>399.71546499999999</v>
      </c>
      <c r="Q8" s="4">
        <f>[1]PhaseI_bioavailable!M8</f>
        <v>22.546593000000001</v>
      </c>
      <c r="R8" s="4">
        <f>[1]PhaseI_bioavailable!N8</f>
        <v>572.48541799999998</v>
      </c>
      <c r="S8" s="4">
        <f>[1]PhaseI_bioavailable!O8</f>
        <v>0.50510699999999997</v>
      </c>
      <c r="T8" s="4">
        <f>[1]PhaseI_bioavailable!P8</f>
        <v>360.33575200000001</v>
      </c>
      <c r="U8" s="4">
        <f>[1]PhaseI_bioavailable!Q8</f>
        <v>0.14461499999999999</v>
      </c>
      <c r="V8" s="4">
        <f>[1]PhaseI_bioavailable!R8</f>
        <v>69.039693</v>
      </c>
      <c r="W8" s="4">
        <f>[1]PhaseI_bioavailable!S8</f>
        <v>21.790866000000001</v>
      </c>
      <c r="X8" s="4">
        <f>[1]PhaseI_bioavailable!T8</f>
        <v>1.224299</v>
      </c>
      <c r="Y8" s="4">
        <f>[1]PseudoTotal!B8</f>
        <v>7342.2347404449501</v>
      </c>
      <c r="Z8" s="4">
        <f>[1]PseudoTotal!C8</f>
        <v>20.0388619509412</v>
      </c>
      <c r="AA8" s="4">
        <f>[1]PseudoTotal!D8</f>
        <v>212.902880775813</v>
      </c>
      <c r="AB8" s="4">
        <f>[1]PseudoTotal!E8</f>
        <v>5197.6968054763302</v>
      </c>
      <c r="AC8" s="4">
        <f>[1]PseudoTotal!F8</f>
        <v>0.60702189104392501</v>
      </c>
      <c r="AD8" s="4">
        <f>[1]PseudoTotal!G8</f>
        <v>10.001782658300099</v>
      </c>
      <c r="AE8" s="4">
        <f>[1]PseudoTotal!H8</f>
        <v>10.2574158585282</v>
      </c>
      <c r="AF8" s="4">
        <f>[1]PseudoTotal!I8</f>
        <v>21.846477467199101</v>
      </c>
      <c r="AG8" s="4">
        <f>[1]PseudoTotal!J8</f>
        <v>20033.5139760411</v>
      </c>
      <c r="AH8" s="4">
        <f>[1]PseudoTotal!K8</f>
        <v>12346.6022532801</v>
      </c>
      <c r="AI8" s="4">
        <f>[1]PseudoTotal!L8</f>
        <v>3195.6824015972602</v>
      </c>
      <c r="AJ8" s="4">
        <f>[1]PseudoTotal!M8</f>
        <v>428.42626925270997</v>
      </c>
      <c r="AK8" s="4">
        <f>[1]PseudoTotal!N8</f>
        <v>2254.1714204221298</v>
      </c>
      <c r="AL8" s="4">
        <f>[1]PseudoTotal!O8</f>
        <v>13.344801768397</v>
      </c>
      <c r="AM8" s="4">
        <f>[1]PseudoTotal!P8</f>
        <v>972.74315459212801</v>
      </c>
      <c r="AN8" s="4">
        <f>[1]PseudoTotal!Q8</f>
        <v>13.583856246434699</v>
      </c>
      <c r="AO8" s="4">
        <f>[1]PseudoTotal!R8</f>
        <v>1180.8328579577901</v>
      </c>
      <c r="AP8" s="4">
        <f>[1]PseudoTotal!S8</f>
        <v>69.975577581289201</v>
      </c>
      <c r="AQ8" s="4">
        <f>[1]PseudoTotal!T8</f>
        <v>44.698374215630302</v>
      </c>
    </row>
    <row r="9" spans="1:43" x14ac:dyDescent="0.2">
      <c r="A9" s="2" t="s">
        <v>58</v>
      </c>
      <c r="B9" s="3" t="s">
        <v>56</v>
      </c>
      <c r="C9" s="3" t="s">
        <v>45</v>
      </c>
      <c r="D9" s="3" t="s">
        <v>48</v>
      </c>
      <c r="E9" s="3" t="s">
        <v>57</v>
      </c>
      <c r="F9" s="4">
        <f>[1]PhaseI_bioavailable!B9</f>
        <v>34.176245000000002</v>
      </c>
      <c r="G9" s="4">
        <f>[1]PhaseI_bioavailable!C9</f>
        <v>0.27905200000000002</v>
      </c>
      <c r="H9" s="4">
        <f>[1]PhaseI_bioavailable!D9</f>
        <v>28.548886</v>
      </c>
      <c r="I9" s="4">
        <f>[1]PhaseI_bioavailable!E9</f>
        <v>1746.672343</v>
      </c>
      <c r="J9" s="4">
        <f>[1]PhaseI_bioavailable!F9</f>
        <v>8.4279999999999994E-2</v>
      </c>
      <c r="K9" s="4">
        <f>[1]PhaseI_bioavailable!G9</f>
        <v>6.3630000000000006E-2</v>
      </c>
      <c r="L9" s="4">
        <f>[1]PhaseI_bioavailable!H9</f>
        <v>7.3768E-2</v>
      </c>
      <c r="M9" s="4">
        <f>[1]PhaseI_bioavailable!I9</f>
        <v>0.555697</v>
      </c>
      <c r="N9" s="4">
        <f>[1]PhaseI_bioavailable!J9</f>
        <v>9.9650920000000003</v>
      </c>
      <c r="O9" s="4">
        <f>[1]PhaseI_bioavailable!K9</f>
        <v>431.68440500000003</v>
      </c>
      <c r="P9" s="4">
        <f>[1]PhaseI_bioavailable!L9</f>
        <v>373.49226599999997</v>
      </c>
      <c r="Q9" s="4">
        <f>[1]PhaseI_bioavailable!M9</f>
        <v>20.565915</v>
      </c>
      <c r="R9" s="4">
        <f>[1]PhaseI_bioavailable!N9</f>
        <v>512.10444199999995</v>
      </c>
      <c r="S9" s="4">
        <f>[1]PhaseI_bioavailable!O9</f>
        <v>0.42310199999999998</v>
      </c>
      <c r="T9" s="4">
        <f>[1]PhaseI_bioavailable!P9</f>
        <v>354.64736799999997</v>
      </c>
      <c r="U9" s="4">
        <f>[1]PhaseI_bioavailable!Q9</f>
        <v>9.7151000000000001E-2</v>
      </c>
      <c r="V9" s="4">
        <f>[1]PhaseI_bioavailable!R9</f>
        <v>65.537108000000003</v>
      </c>
      <c r="W9" s="4">
        <f>[1]PhaseI_bioavailable!S9</f>
        <v>20.194693000000001</v>
      </c>
      <c r="X9" s="4">
        <f>[1]PhaseI_bioavailable!T9</f>
        <v>1.067688</v>
      </c>
      <c r="Y9" s="4">
        <f>[1]PseudoTotal!B9</f>
        <v>7285.4143990048196</v>
      </c>
      <c r="Z9" s="4">
        <f>[1]PseudoTotal!C9</f>
        <v>16.132405535686502</v>
      </c>
      <c r="AA9" s="4">
        <f>[1]PseudoTotal!D9</f>
        <v>222.28269320478901</v>
      </c>
      <c r="AB9" s="4">
        <f>[1]PseudoTotal!E9</f>
        <v>5144.2232934224803</v>
      </c>
      <c r="AC9" s="4">
        <f>[1]PseudoTotal!F9</f>
        <v>0.56783548437257003</v>
      </c>
      <c r="AD9" s="4">
        <f>[1]PseudoTotal!G9</f>
        <v>10.575921318613</v>
      </c>
      <c r="AE9" s="4">
        <f>[1]PseudoTotal!H9</f>
        <v>10.306231534753501</v>
      </c>
      <c r="AF9" s="4">
        <f>[1]PseudoTotal!I9</f>
        <v>16.770331208210202</v>
      </c>
      <c r="AG9" s="4">
        <f>[1]PseudoTotal!J9</f>
        <v>18887.0315658529</v>
      </c>
      <c r="AH9" s="4">
        <f>[1]PseudoTotal!K9</f>
        <v>8842.9093453584192</v>
      </c>
      <c r="AI9" s="4">
        <f>[1]PseudoTotal!L9</f>
        <v>2878.8291090032699</v>
      </c>
      <c r="AJ9" s="4">
        <f>[1]PseudoTotal!M9</f>
        <v>967.32623231223795</v>
      </c>
      <c r="AK9" s="4">
        <f>[1]PseudoTotal!N9</f>
        <v>1756.0449385787599</v>
      </c>
      <c r="AL9" s="4">
        <f>[1]PseudoTotal!O9</f>
        <v>11.0704011817758</v>
      </c>
      <c r="AM9" s="4">
        <f>[1]PseudoTotal!P9</f>
        <v>1076.3100606437599</v>
      </c>
      <c r="AN9" s="4">
        <f>[1]PseudoTotal!Q9</f>
        <v>18.6908140258125</v>
      </c>
      <c r="AO9" s="4">
        <f>[1]PseudoTotal!R9</f>
        <v>1000.62198724926</v>
      </c>
      <c r="AP9" s="4">
        <f>[1]PseudoTotal!S9</f>
        <v>71.652931114912107</v>
      </c>
      <c r="AQ9" s="4">
        <f>[1]PseudoTotal!T9</f>
        <v>39.966568185352202</v>
      </c>
    </row>
    <row r="10" spans="1:43" x14ac:dyDescent="0.2">
      <c r="A10" s="2" t="s">
        <v>59</v>
      </c>
      <c r="B10" s="3" t="s">
        <v>56</v>
      </c>
      <c r="C10" s="3" t="s">
        <v>45</v>
      </c>
      <c r="D10" s="3" t="s">
        <v>50</v>
      </c>
      <c r="E10" s="3" t="s">
        <v>57</v>
      </c>
      <c r="F10" s="4">
        <f>[1]PhaseI_bioavailable!B10</f>
        <v>30.373052000000001</v>
      </c>
      <c r="G10" s="4">
        <f>[1]PhaseI_bioavailable!C10</f>
        <v>0.336866</v>
      </c>
      <c r="H10" s="4">
        <f>[1]PhaseI_bioavailable!D10</f>
        <v>26.092824</v>
      </c>
      <c r="I10" s="4">
        <f>[1]PhaseI_bioavailable!E10</f>
        <v>1778.3629579999999</v>
      </c>
      <c r="J10" s="4">
        <f>[1]PhaseI_bioavailable!F10</f>
        <v>6.2650999999999998E-2</v>
      </c>
      <c r="K10" s="4">
        <f>[1]PhaseI_bioavailable!G10</f>
        <v>6.0331000000000003E-2</v>
      </c>
      <c r="L10" s="4">
        <f>[1]PhaseI_bioavailable!H10</f>
        <v>0.14061899999999999</v>
      </c>
      <c r="M10" s="4">
        <f>[1]PhaseI_bioavailable!I10</f>
        <v>0.48946699999999999</v>
      </c>
      <c r="N10" s="4">
        <f>[1]PhaseI_bioavailable!J10</f>
        <v>7.6376999999999997</v>
      </c>
      <c r="O10" s="4">
        <f>[1]PhaseI_bioavailable!K10</f>
        <v>686.52622299999996</v>
      </c>
      <c r="P10" s="4">
        <f>[1]PhaseI_bioavailable!L10</f>
        <v>356.04564399999998</v>
      </c>
      <c r="Q10" s="4">
        <f>[1]PhaseI_bioavailable!M10</f>
        <v>18.553872999999999</v>
      </c>
      <c r="R10" s="4">
        <f>[1]PhaseI_bioavailable!N10</f>
        <v>307.54882600000002</v>
      </c>
      <c r="S10" s="4">
        <f>[1]PhaseI_bioavailable!O10</f>
        <v>0.38698700000000003</v>
      </c>
      <c r="T10" s="4">
        <f>[1]PhaseI_bioavailable!P10</f>
        <v>363.06780800000001</v>
      </c>
      <c r="U10" s="4">
        <f>[1]PhaseI_bioavailable!Q10</f>
        <v>8.4762000000000004E-2</v>
      </c>
      <c r="V10" s="4">
        <f>[1]PhaseI_bioavailable!R10</f>
        <v>43.877550999999997</v>
      </c>
      <c r="W10" s="4">
        <f>[1]PhaseI_bioavailable!S10</f>
        <v>17.850560000000002</v>
      </c>
      <c r="X10" s="4">
        <f>[1]PhaseI_bioavailable!T10</f>
        <v>1.1180600000000001</v>
      </c>
      <c r="Y10" s="4">
        <f>[1]PseudoTotal!B10</f>
        <v>8765.4759912999798</v>
      </c>
      <c r="Z10" s="4">
        <f>[1]PseudoTotal!C10</f>
        <v>17.921511627907002</v>
      </c>
      <c r="AA10" s="4">
        <f>[1]PseudoTotal!D10</f>
        <v>222.97975573029899</v>
      </c>
      <c r="AB10" s="4">
        <f>[1]PseudoTotal!E10</f>
        <v>5418.2700351346803</v>
      </c>
      <c r="AC10" s="4">
        <f>[1]PseudoTotal!F10</f>
        <v>0.55873556968378801</v>
      </c>
      <c r="AD10" s="4">
        <f>[1]PseudoTotal!G10</f>
        <v>9.7919106575204999</v>
      </c>
      <c r="AE10" s="4">
        <f>[1]PseudoTotal!H10</f>
        <v>11.120127154090699</v>
      </c>
      <c r="AF10" s="4">
        <f>[1]PseudoTotal!I10</f>
        <v>17.266187050359701</v>
      </c>
      <c r="AG10" s="4">
        <f>[1]PseudoTotal!J10</f>
        <v>22831.269867826701</v>
      </c>
      <c r="AH10" s="4">
        <f>[1]PseudoTotal!K10</f>
        <v>10502.7605822319</v>
      </c>
      <c r="AI10" s="4">
        <f>[1]PseudoTotal!L10</f>
        <v>3091.8520997155802</v>
      </c>
      <c r="AJ10" s="4">
        <f>[1]PseudoTotal!M10</f>
        <v>513.46829513133696</v>
      </c>
      <c r="AK10" s="4">
        <f>[1]PseudoTotal!N10</f>
        <v>1807.9617701187899</v>
      </c>
      <c r="AL10" s="4">
        <f>[1]PseudoTotal!O10</f>
        <v>10.2091350175673</v>
      </c>
      <c r="AM10" s="4">
        <f>[1]PseudoTotal!P10</f>
        <v>1147.1473983603801</v>
      </c>
      <c r="AN10" s="4">
        <f>[1]PseudoTotal!Q10</f>
        <v>8.6017232725447599</v>
      </c>
      <c r="AO10" s="4">
        <f>[1]PseudoTotal!R10</f>
        <v>1258.57453572026</v>
      </c>
      <c r="AP10" s="4">
        <f>[1]PseudoTotal!S10</f>
        <v>70.338380458423899</v>
      </c>
      <c r="AQ10" s="4">
        <f>[1]PseudoTotal!T10</f>
        <v>43.592103061736701</v>
      </c>
    </row>
    <row r="11" spans="1:43" x14ac:dyDescent="0.2">
      <c r="A11" s="2" t="s">
        <v>60</v>
      </c>
      <c r="B11" s="3" t="s">
        <v>56</v>
      </c>
      <c r="C11" s="3" t="s">
        <v>45</v>
      </c>
      <c r="D11" s="3" t="s">
        <v>46</v>
      </c>
      <c r="E11" s="3" t="s">
        <v>61</v>
      </c>
      <c r="F11" s="4">
        <f>[1]PhaseI_bioavailable!B11</f>
        <v>25.241828999999999</v>
      </c>
      <c r="G11" s="4">
        <f>[1]PhaseI_bioavailable!C11</f>
        <v>5.6441999999999999E-2</v>
      </c>
      <c r="H11" s="4">
        <f>[1]PhaseI_bioavailable!D11</f>
        <v>20.345431999999999</v>
      </c>
      <c r="I11" s="4">
        <f>[1]PhaseI_bioavailable!E11</f>
        <v>2003.2872580000001</v>
      </c>
      <c r="J11" s="4">
        <f>[1]PhaseI_bioavailable!F11</f>
        <v>4.3369999999999999E-2</v>
      </c>
      <c r="K11" s="4">
        <f>[1]PhaseI_bioavailable!G11</f>
        <v>8.0888000000000002E-2</v>
      </c>
      <c r="L11" s="4">
        <f>[1]PhaseI_bioavailable!H11</f>
        <v>0.21388699999999999</v>
      </c>
      <c r="M11" s="4">
        <f>[1]PhaseI_bioavailable!I11</f>
        <v>0.42184700000000003</v>
      </c>
      <c r="N11" s="4">
        <f>[1]PhaseI_bioavailable!J11</f>
        <v>9.7744730000000004</v>
      </c>
      <c r="O11" s="4">
        <f>[1]PhaseI_bioavailable!K11</f>
        <v>522.68800699999997</v>
      </c>
      <c r="P11" s="4">
        <f>[1]PhaseI_bioavailable!L11</f>
        <v>460.86277000000001</v>
      </c>
      <c r="Q11" s="4">
        <f>[1]PhaseI_bioavailable!M11</f>
        <v>36.666397000000003</v>
      </c>
      <c r="R11" s="4">
        <f>[1]PhaseI_bioavailable!N11</f>
        <v>362.13725599999998</v>
      </c>
      <c r="S11" s="4">
        <f>[1]PhaseI_bioavailable!O11</f>
        <v>0.32770199999999999</v>
      </c>
      <c r="T11" s="4">
        <f>[1]PhaseI_bioavailable!P11</f>
        <v>374.85517199999998</v>
      </c>
      <c r="U11" s="4">
        <f>[1]PhaseI_bioavailable!Q11</f>
        <v>5.1110999999999997E-2</v>
      </c>
      <c r="V11" s="4">
        <f>[1]PhaseI_bioavailable!R11</f>
        <v>50.505214000000002</v>
      </c>
      <c r="W11" s="4">
        <f>[1]PhaseI_bioavailable!S11</f>
        <v>15.672136</v>
      </c>
      <c r="X11" s="4">
        <f>[1]PhaseI_bioavailable!T11</f>
        <v>1.8492710000000001</v>
      </c>
      <c r="Y11" s="4">
        <f>[1]PseudoTotal!B11</f>
        <v>7394.1593517893298</v>
      </c>
      <c r="Z11" s="4">
        <f>[1]PseudoTotal!C11</f>
        <v>9.1944632005401701</v>
      </c>
      <c r="AA11" s="4">
        <f>[1]PseudoTotal!D11</f>
        <v>197.70425388251201</v>
      </c>
      <c r="AB11" s="4">
        <f>[1]PseudoTotal!E11</f>
        <v>6305.8744091829803</v>
      </c>
      <c r="AC11" s="4">
        <f>[1]PseudoTotal!F11</f>
        <v>0.416880486158001</v>
      </c>
      <c r="AD11" s="4">
        <f>[1]PseudoTotal!G11</f>
        <v>9.7140445644834603</v>
      </c>
      <c r="AE11" s="4">
        <f>[1]PseudoTotal!H11</f>
        <v>12.913571910870999</v>
      </c>
      <c r="AF11" s="4">
        <f>[1]PseudoTotal!I11</f>
        <v>17.370020256583398</v>
      </c>
      <c r="AG11" s="4">
        <f>[1]PseudoTotal!J11</f>
        <v>15739.365293720501</v>
      </c>
      <c r="AH11" s="4">
        <f>[1]PseudoTotal!K11</f>
        <v>10993.247805536799</v>
      </c>
      <c r="AI11" s="4">
        <f>[1]PseudoTotal!L11</f>
        <v>2691.59351789332</v>
      </c>
      <c r="AJ11" s="4">
        <f>[1]PseudoTotal!M11</f>
        <v>1086.2086428089101</v>
      </c>
      <c r="AK11" s="4">
        <f>[1]PseudoTotal!N11</f>
        <v>2177.6080351114101</v>
      </c>
      <c r="AL11" s="4">
        <f>[1]PseudoTotal!O11</f>
        <v>10.4941762322755</v>
      </c>
      <c r="AM11" s="4">
        <f>[1]PseudoTotal!P11</f>
        <v>1044.1762322754901</v>
      </c>
      <c r="AN11" s="4">
        <f>[1]PseudoTotal!Q11</f>
        <v>9.3955097906819702</v>
      </c>
      <c r="AO11" s="4">
        <f>[1]PseudoTotal!R11</f>
        <v>1042.201215395</v>
      </c>
      <c r="AP11" s="4">
        <f>[1]PseudoTotal!S11</f>
        <v>54.956110735989199</v>
      </c>
      <c r="AQ11" s="4">
        <f>[1]PseudoTotal!T11</f>
        <v>43.708642808912899</v>
      </c>
    </row>
    <row r="12" spans="1:43" x14ac:dyDescent="0.2">
      <c r="A12" s="2" t="s">
        <v>62</v>
      </c>
      <c r="B12" s="3" t="s">
        <v>56</v>
      </c>
      <c r="C12" s="3" t="s">
        <v>45</v>
      </c>
      <c r="D12" s="3" t="s">
        <v>48</v>
      </c>
      <c r="E12" s="3" t="s">
        <v>61</v>
      </c>
      <c r="F12" s="4">
        <f>[1]PhaseI_bioavailable!B12</f>
        <v>12.273516000000001</v>
      </c>
      <c r="G12" s="4">
        <f>[1]PhaseI_bioavailable!C12</f>
        <v>1.7170999999999999E-2</v>
      </c>
      <c r="H12" s="4">
        <f>[1]PhaseI_bioavailable!D12</f>
        <v>29.945620999999999</v>
      </c>
      <c r="I12" s="4">
        <f>[1]PhaseI_bioavailable!E12</f>
        <v>5020.2475990000003</v>
      </c>
      <c r="J12" s="4">
        <f>[1]PhaseI_bioavailable!F12</f>
        <v>4.8780999999999998E-2</v>
      </c>
      <c r="K12" s="4">
        <f>[1]PhaseI_bioavailable!G12</f>
        <v>5.2589999999999998E-3</v>
      </c>
      <c r="L12" s="4">
        <f>[1]PhaseI_bioavailable!H12</f>
        <v>0</v>
      </c>
      <c r="M12" s="4">
        <f>[1]PhaseI_bioavailable!I12</f>
        <v>0.44452199999999997</v>
      </c>
      <c r="N12" s="4">
        <f>[1]PhaseI_bioavailable!J12</f>
        <v>5.8139529999999997</v>
      </c>
      <c r="O12" s="4">
        <f>[1]PhaseI_bioavailable!K12</f>
        <v>630.20941800000003</v>
      </c>
      <c r="P12" s="4">
        <f>[1]PhaseI_bioavailable!L12</f>
        <v>605.57676700000002</v>
      </c>
      <c r="Q12" s="4">
        <f>[1]PhaseI_bioavailable!M12</f>
        <v>30.149253999999999</v>
      </c>
      <c r="R12" s="4">
        <f>[1]PhaseI_bioavailable!N12</f>
        <v>395.117436</v>
      </c>
      <c r="S12" s="4">
        <f>[1]PhaseI_bioavailable!O12</f>
        <v>0.48050399999999999</v>
      </c>
      <c r="T12" s="4">
        <f>[1]PhaseI_bioavailable!P12</f>
        <v>268.957538</v>
      </c>
      <c r="U12" s="4">
        <f>[1]PhaseI_bioavailable!Q12</f>
        <v>0.12600900000000001</v>
      </c>
      <c r="V12" s="4">
        <f>[1]PhaseI_bioavailable!R12</f>
        <v>50.688417999999999</v>
      </c>
      <c r="W12" s="4">
        <f>[1]PhaseI_bioavailable!S12</f>
        <v>25.749161000000001</v>
      </c>
      <c r="X12" s="4">
        <f>[1]PhaseI_bioavailable!T12</f>
        <v>2.4666199999999998</v>
      </c>
      <c r="Y12" s="4">
        <f>[1]PseudoTotal!B12</f>
        <v>8874.2616197730495</v>
      </c>
      <c r="Z12" s="4">
        <f>[1]PseudoTotal!C12</f>
        <v>8.6827685372299097</v>
      </c>
      <c r="AA12" s="4">
        <f>[1]PseudoTotal!D12</f>
        <v>152.605704958806</v>
      </c>
      <c r="AB12" s="4">
        <f>[1]PseudoTotal!E12</f>
        <v>10081.804756723201</v>
      </c>
      <c r="AC12" s="4">
        <f>[1]PseudoTotal!F12</f>
        <v>0.53740478781283996</v>
      </c>
      <c r="AD12" s="4">
        <f>[1]PseudoTotal!G12</f>
        <v>10.0439141924452</v>
      </c>
      <c r="AE12" s="4">
        <f>[1]PseudoTotal!H12</f>
        <v>14.8064666563034</v>
      </c>
      <c r="AF12" s="4">
        <f>[1]PseudoTotal!I12</f>
        <v>15.4127156847505</v>
      </c>
      <c r="AG12" s="4">
        <f>[1]PseudoTotal!J12</f>
        <v>17732.7840820768</v>
      </c>
      <c r="AH12" s="4">
        <f>[1]PseudoTotal!K12</f>
        <v>10874.009016011199</v>
      </c>
      <c r="AI12" s="4">
        <f>[1]PseudoTotal!L12</f>
        <v>2605.70495880616</v>
      </c>
      <c r="AJ12" s="4">
        <f>[1]PseudoTotal!M12</f>
        <v>578.38489040882905</v>
      </c>
      <c r="AK12" s="4">
        <f>[1]PseudoTotal!N12</f>
        <v>2318.0281361728598</v>
      </c>
      <c r="AL12" s="4">
        <f>[1]PseudoTotal!O12</f>
        <v>10.9299704647909</v>
      </c>
      <c r="AM12" s="4">
        <f>[1]PseudoTotal!P12</f>
        <v>1024.0945126690499</v>
      </c>
      <c r="AN12" s="4">
        <f>[1]PseudoTotal!Q12</f>
        <v>8.6040727498834109</v>
      </c>
      <c r="AO12" s="4">
        <f>[1]PseudoTotal!R12</f>
        <v>1202.00528524794</v>
      </c>
      <c r="AP12" s="4">
        <f>[1]PseudoTotal!S12</f>
        <v>65.372882014612202</v>
      </c>
      <c r="AQ12" s="4">
        <f>[1]PseudoTotal!T12</f>
        <v>42.9678998911861</v>
      </c>
    </row>
    <row r="13" spans="1:43" x14ac:dyDescent="0.2">
      <c r="A13" s="2" t="s">
        <v>63</v>
      </c>
      <c r="B13" s="3" t="s">
        <v>56</v>
      </c>
      <c r="C13" s="3" t="s">
        <v>45</v>
      </c>
      <c r="D13" s="3" t="s">
        <v>50</v>
      </c>
      <c r="E13" s="3" t="s">
        <v>61</v>
      </c>
      <c r="F13" s="4">
        <f>[1]PhaseI_bioavailable!B13</f>
        <v>26.785316000000002</v>
      </c>
      <c r="G13" s="4">
        <f>[1]PhaseI_bioavailable!C13</f>
        <v>0.14838799999999999</v>
      </c>
      <c r="H13" s="4">
        <f>[1]PhaseI_bioavailable!D13</f>
        <v>21.450807999999999</v>
      </c>
      <c r="I13" s="4">
        <f>[1]PhaseI_bioavailable!E13</f>
        <v>2180.2055799999998</v>
      </c>
      <c r="J13" s="4">
        <f>[1]PhaseI_bioavailable!F13</f>
        <v>5.6246999999999998E-2</v>
      </c>
      <c r="K13" s="4">
        <f>[1]PhaseI_bioavailable!G13</f>
        <v>9.2605000000000007E-2</v>
      </c>
      <c r="L13" s="4">
        <f>[1]PhaseI_bioavailable!H13</f>
        <v>0</v>
      </c>
      <c r="M13" s="4">
        <f>[1]PhaseI_bioavailable!I13</f>
        <v>0.54625599999999996</v>
      </c>
      <c r="N13" s="4">
        <f>[1]PhaseI_bioavailable!J13</f>
        <v>9.8302499999999995</v>
      </c>
      <c r="O13" s="4">
        <f>[1]PhaseI_bioavailable!K13</f>
        <v>557.86196800000005</v>
      </c>
      <c r="P13" s="4">
        <f>[1]PhaseI_bioavailable!L13</f>
        <v>495.741557</v>
      </c>
      <c r="Q13" s="4">
        <f>[1]PhaseI_bioavailable!M13</f>
        <v>36.323053999999999</v>
      </c>
      <c r="R13" s="4">
        <f>[1]PhaseI_bioavailable!N13</f>
        <v>478.00293699999997</v>
      </c>
      <c r="S13" s="4">
        <f>[1]PhaseI_bioavailable!O13</f>
        <v>0.58220300000000003</v>
      </c>
      <c r="T13" s="4">
        <f>[1]PhaseI_bioavailable!P13</f>
        <v>408.81057299999998</v>
      </c>
      <c r="U13" s="4">
        <f>[1]PhaseI_bioavailable!Q13</f>
        <v>0.225938</v>
      </c>
      <c r="V13" s="4">
        <f>[1]PhaseI_bioavailable!R13</f>
        <v>70.942730999999995</v>
      </c>
      <c r="W13" s="4">
        <f>[1]PhaseI_bioavailable!S13</f>
        <v>16.587371999999998</v>
      </c>
      <c r="X13" s="4">
        <f>[1]PhaseI_bioavailable!T13</f>
        <v>2.2275480000000001</v>
      </c>
      <c r="Y13" s="4">
        <f>[1]PseudoTotal!B13</f>
        <v>7838.4983361064897</v>
      </c>
      <c r="Z13" s="4">
        <f>[1]PseudoTotal!C13</f>
        <v>9.0684796173044901</v>
      </c>
      <c r="AA13" s="4">
        <f>[1]PseudoTotal!D13</f>
        <v>159.88976705490899</v>
      </c>
      <c r="AB13" s="4">
        <f>[1]PseudoTotal!E13</f>
        <v>6174.8648086522498</v>
      </c>
      <c r="AC13" s="4">
        <f>[1]PseudoTotal!F13</f>
        <v>0.42179700499168099</v>
      </c>
      <c r="AD13" s="4">
        <f>[1]PseudoTotal!G13</f>
        <v>10.321339434276201</v>
      </c>
      <c r="AE13" s="4">
        <f>[1]PseudoTotal!H13</f>
        <v>14.627183860233</v>
      </c>
      <c r="AF13" s="4">
        <f>[1]PseudoTotal!I13</f>
        <v>14.699459234609</v>
      </c>
      <c r="AG13" s="4">
        <f>[1]PseudoTotal!J13</f>
        <v>16696.131447587399</v>
      </c>
      <c r="AH13" s="4">
        <f>[1]PseudoTotal!K13</f>
        <v>10342.1381031614</v>
      </c>
      <c r="AI13" s="4">
        <f>[1]PseudoTotal!L13</f>
        <v>2502.3398502495802</v>
      </c>
      <c r="AJ13" s="4">
        <f>[1]PseudoTotal!M13</f>
        <v>773.55449251247899</v>
      </c>
      <c r="AK13" s="4">
        <f>[1]PseudoTotal!N13</f>
        <v>2253.53577371048</v>
      </c>
      <c r="AL13" s="4">
        <f>[1]PseudoTotal!O13</f>
        <v>9.7992928452579005</v>
      </c>
      <c r="AM13" s="4">
        <f>[1]PseudoTotal!P13</f>
        <v>1129.31572379368</v>
      </c>
      <c r="AN13" s="4">
        <f>[1]PseudoTotal!Q13</f>
        <v>10.591722129783699</v>
      </c>
      <c r="AO13" s="4">
        <f>[1]PseudoTotal!R13</f>
        <v>1204.2429284525799</v>
      </c>
      <c r="AP13" s="4">
        <f>[1]PseudoTotal!S13</f>
        <v>52.0733673044925</v>
      </c>
      <c r="AQ13" s="4">
        <f>[1]PseudoTotal!T13</f>
        <v>45.681676372712197</v>
      </c>
    </row>
    <row r="14" spans="1:43" x14ac:dyDescent="0.2">
      <c r="A14" s="2" t="s">
        <v>92</v>
      </c>
      <c r="B14" s="3" t="s">
        <v>56</v>
      </c>
      <c r="C14" s="3" t="s">
        <v>52</v>
      </c>
      <c r="D14" s="3" t="s">
        <v>46</v>
      </c>
      <c r="E14" s="3" t="s">
        <v>57</v>
      </c>
      <c r="F14" s="4">
        <f>[1]PhaseI_bioavailable!B14</f>
        <v>31.746963000000001</v>
      </c>
      <c r="G14" s="4">
        <f>[1]PhaseI_bioavailable!C14</f>
        <v>0.18241499999999999</v>
      </c>
      <c r="H14" s="4">
        <f>[1]PhaseI_bioavailable!D14</f>
        <v>25.766175</v>
      </c>
      <c r="I14" s="4">
        <f>[1]PhaseI_bioavailable!E14</f>
        <v>1580.406248</v>
      </c>
      <c r="J14" s="4">
        <f>[1]PhaseI_bioavailable!F14</f>
        <v>5.5291E-2</v>
      </c>
      <c r="K14" s="4">
        <f>[1]PhaseI_bioavailable!G14</f>
        <v>7.4180999999999997E-2</v>
      </c>
      <c r="L14" s="4">
        <f>[1]PhaseI_bioavailable!H14</f>
        <v>0</v>
      </c>
      <c r="M14" s="4">
        <f>[1]PhaseI_bioavailable!I14</f>
        <v>0.751583</v>
      </c>
      <c r="N14" s="4">
        <f>[1]PhaseI_bioavailable!J14</f>
        <v>8.1484199999999998</v>
      </c>
      <c r="O14" s="4">
        <f>[1]PhaseI_bioavailable!K14</f>
        <v>437.148933</v>
      </c>
      <c r="P14" s="4">
        <f>[1]PhaseI_bioavailable!L14</f>
        <v>393.24387100000001</v>
      </c>
      <c r="Q14" s="4">
        <f>[1]PhaseI_bioavailable!M14</f>
        <v>19.834274000000001</v>
      </c>
      <c r="R14" s="4">
        <f>[1]PhaseI_bioavailable!N14</f>
        <v>406.345482</v>
      </c>
      <c r="S14" s="4">
        <f>[1]PhaseI_bioavailable!O14</f>
        <v>0.56757400000000002</v>
      </c>
      <c r="T14" s="4">
        <f>[1]PhaseI_bioavailable!P14</f>
        <v>288.11811</v>
      </c>
      <c r="U14" s="4">
        <f>[1]PhaseI_bioavailable!Q14</f>
        <v>0.149701</v>
      </c>
      <c r="V14" s="4">
        <f>[1]PhaseI_bioavailable!R14</f>
        <v>47.977316999999999</v>
      </c>
      <c r="W14" s="4">
        <f>[1]PhaseI_bioavailable!S14</f>
        <v>18.806189</v>
      </c>
      <c r="X14" s="4">
        <f>[1]PhaseI_bioavailable!T14</f>
        <v>1.127227</v>
      </c>
      <c r="Y14" s="4">
        <f>[1]PseudoTotal!B14</f>
        <v>7189.6979726934196</v>
      </c>
      <c r="Z14" s="4">
        <f>[1]PseudoTotal!C14</f>
        <v>16.197765825403401</v>
      </c>
      <c r="AA14" s="4">
        <f>[1]PseudoTotal!D14</f>
        <v>212.143152668597</v>
      </c>
      <c r="AB14" s="4">
        <f>[1]PseudoTotal!E14</f>
        <v>4872.5175837815495</v>
      </c>
      <c r="AC14" s="4">
        <f>[1]PseudoTotal!F14</f>
        <v>0.46788374017376899</v>
      </c>
      <c r="AD14" s="4">
        <f>[1]PseudoTotal!G14</f>
        <v>10.887980968142299</v>
      </c>
      <c r="AE14" s="4">
        <f>[1]PseudoTotal!H14</f>
        <v>13.632602399669</v>
      </c>
      <c r="AF14" s="4">
        <f>[1]PseudoTotal!I14</f>
        <v>16.725279271824601</v>
      </c>
      <c r="AG14" s="4">
        <f>[1]PseudoTotal!J14</f>
        <v>19471.969383533298</v>
      </c>
      <c r="AH14" s="4">
        <f>[1]PseudoTotal!K14</f>
        <v>9745.0351675630991</v>
      </c>
      <c r="AI14" s="4">
        <f>[1]PseudoTotal!L14</f>
        <v>3201.5411667356202</v>
      </c>
      <c r="AJ14" s="4">
        <f>[1]PseudoTotal!M14</f>
        <v>454.23045097227998</v>
      </c>
      <c r="AK14" s="4">
        <f>[1]PseudoTotal!N14</f>
        <v>1967.50879189077</v>
      </c>
      <c r="AL14" s="4">
        <f>[1]PseudoTotal!O14</f>
        <v>13.3166115018618</v>
      </c>
      <c r="AM14" s="4">
        <f>[1]PseudoTotal!P14</f>
        <v>1036.92594124948</v>
      </c>
      <c r="AN14" s="4">
        <f>[1]PseudoTotal!Q14</f>
        <v>8.5333057509309107</v>
      </c>
      <c r="AO14" s="4">
        <f>[1]PseudoTotal!R14</f>
        <v>1124.3276789408401</v>
      </c>
      <c r="AP14" s="4">
        <f>[1]PseudoTotal!S14</f>
        <v>56.363777410012403</v>
      </c>
      <c r="AQ14" s="4">
        <f>[1]PseudoTotal!T14</f>
        <v>39.8065784029789</v>
      </c>
    </row>
    <row r="15" spans="1:43" x14ac:dyDescent="0.2">
      <c r="A15" s="2" t="s">
        <v>93</v>
      </c>
      <c r="B15" s="3" t="s">
        <v>56</v>
      </c>
      <c r="C15" s="3" t="s">
        <v>52</v>
      </c>
      <c r="D15" s="3" t="s">
        <v>48</v>
      </c>
      <c r="E15" s="3" t="s">
        <v>57</v>
      </c>
      <c r="F15" s="4">
        <f>[1]PhaseI_bioavailable!B15</f>
        <v>26.026494</v>
      </c>
      <c r="G15" s="4">
        <f>[1]PhaseI_bioavailable!C15</f>
        <v>0.23100499999999999</v>
      </c>
      <c r="H15" s="4">
        <f>[1]PhaseI_bioavailable!D15</f>
        <v>22.030372</v>
      </c>
      <c r="I15" s="4">
        <f>[1]PhaseI_bioavailable!E15</f>
        <v>1341.2600970000001</v>
      </c>
      <c r="J15" s="4">
        <f>[1]PhaseI_bioavailable!F15</f>
        <v>6.2508999999999995E-2</v>
      </c>
      <c r="K15" s="4">
        <f>[1]PhaseI_bioavailable!G15</f>
        <v>5.5426999999999997E-2</v>
      </c>
      <c r="L15" s="4">
        <f>[1]PhaseI_bioavailable!H15</f>
        <v>0</v>
      </c>
      <c r="M15" s="4">
        <f>[1]PhaseI_bioavailable!I15</f>
        <v>1.0838989999999999</v>
      </c>
      <c r="N15" s="4">
        <f>[1]PhaseI_bioavailable!J15</f>
        <v>5.6409260000000003</v>
      </c>
      <c r="O15" s="4">
        <f>[1]PhaseI_bioavailable!K15</f>
        <v>804.65266599999995</v>
      </c>
      <c r="P15" s="4">
        <f>[1]PhaseI_bioavailable!L15</f>
        <v>329.21917100000002</v>
      </c>
      <c r="Q15" s="4">
        <f>[1]PhaseI_bioavailable!M15</f>
        <v>17.291546</v>
      </c>
      <c r="R15" s="4">
        <f>[1]PhaseI_bioavailable!N15</f>
        <v>372.64404999999999</v>
      </c>
      <c r="S15" s="4">
        <f>[1]PhaseI_bioavailable!O15</f>
        <v>0.59735099999999997</v>
      </c>
      <c r="T15" s="4">
        <f>[1]PhaseI_bioavailable!P15</f>
        <v>268.73451799999998</v>
      </c>
      <c r="U15" s="4">
        <f>[1]PhaseI_bioavailable!Q15</f>
        <v>0.290964</v>
      </c>
      <c r="V15" s="4">
        <f>[1]PhaseI_bioavailable!R15</f>
        <v>45.001615999999999</v>
      </c>
      <c r="W15" s="4">
        <f>[1]PhaseI_bioavailable!S15</f>
        <v>16.164567000000002</v>
      </c>
      <c r="X15" s="4">
        <f>[1]PhaseI_bioavailable!T15</f>
        <v>1.455681</v>
      </c>
      <c r="Y15" s="4">
        <f>[1]PseudoTotal!B15</f>
        <v>7949.6338311315303</v>
      </c>
      <c r="Z15" s="4">
        <f>[1]PseudoTotal!C15</f>
        <v>20.496033170591598</v>
      </c>
      <c r="AA15" s="4">
        <f>[1]PseudoTotal!D15</f>
        <v>226.97085008615699</v>
      </c>
      <c r="AB15" s="4">
        <f>[1]PseudoTotal!E15</f>
        <v>4506.5695002871898</v>
      </c>
      <c r="AC15" s="4">
        <f>[1]PseudoTotal!F15</f>
        <v>0.57792755600229695</v>
      </c>
      <c r="AD15" s="4">
        <f>[1]PseudoTotal!G15</f>
        <v>11.090070361861001</v>
      </c>
      <c r="AE15" s="4">
        <f>[1]PseudoTotal!H15</f>
        <v>12.8805284319357</v>
      </c>
      <c r="AF15" s="4">
        <f>[1]PseudoTotal!I15</f>
        <v>20.2577541642734</v>
      </c>
      <c r="AG15" s="4">
        <f>[1]PseudoTotal!J15</f>
        <v>22654.006318207899</v>
      </c>
      <c r="AH15" s="4">
        <f>[1]PseudoTotal!K15</f>
        <v>7183.3716255025802</v>
      </c>
      <c r="AI15" s="4">
        <f>[1]PseudoTotal!L15</f>
        <v>3065.7219270534201</v>
      </c>
      <c r="AJ15" s="4">
        <f>[1]PseudoTotal!M15</f>
        <v>540.42217116599704</v>
      </c>
      <c r="AK15" s="4">
        <f>[1]PseudoTotal!N15</f>
        <v>1868.34972716829</v>
      </c>
      <c r="AL15" s="4">
        <f>[1]PseudoTotal!O15</f>
        <v>10.932563900057399</v>
      </c>
      <c r="AM15" s="4">
        <f>[1]PseudoTotal!P15</f>
        <v>1042.39661114302</v>
      </c>
      <c r="AN15" s="4">
        <f>[1]PseudoTotal!Q15</f>
        <v>8.72515795519816</v>
      </c>
      <c r="AO15" s="4">
        <f>[1]PseudoTotal!R15</f>
        <v>750.64618035611704</v>
      </c>
      <c r="AP15" s="4">
        <f>[1]PseudoTotal!S15</f>
        <v>55.099170735209597</v>
      </c>
      <c r="AQ15" s="4">
        <f>[1]PseudoTotal!T15</f>
        <v>32.502871912693898</v>
      </c>
    </row>
    <row r="16" spans="1:43" x14ac:dyDescent="0.2">
      <c r="A16" s="2" t="s">
        <v>94</v>
      </c>
      <c r="B16" s="3" t="s">
        <v>56</v>
      </c>
      <c r="C16" s="3" t="s">
        <v>52</v>
      </c>
      <c r="D16" s="3" t="s">
        <v>50</v>
      </c>
      <c r="E16" s="3" t="s">
        <v>57</v>
      </c>
      <c r="F16" s="4">
        <f>[1]PhaseI_bioavailable!B16</f>
        <v>54.881008000000001</v>
      </c>
      <c r="G16" s="4">
        <f>[1]PhaseI_bioavailable!C16</f>
        <v>0.20451900000000001</v>
      </c>
      <c r="H16" s="4">
        <f>[1]PhaseI_bioavailable!D16</f>
        <v>25.31401</v>
      </c>
      <c r="I16" s="4">
        <f>[1]PhaseI_bioavailable!E16</f>
        <v>1506.8901800000001</v>
      </c>
      <c r="J16" s="4">
        <f>[1]PhaseI_bioavailable!F16</f>
        <v>5.6208000000000001E-2</v>
      </c>
      <c r="K16" s="4">
        <f>[1]PhaseI_bioavailable!G16</f>
        <v>5.6623E-2</v>
      </c>
      <c r="L16" s="4">
        <f>[1]PhaseI_bioavailable!H16</f>
        <v>1.7059000000000001E-2</v>
      </c>
      <c r="M16" s="4">
        <f>[1]PhaseI_bioavailable!I16</f>
        <v>0.59253299999999998</v>
      </c>
      <c r="N16" s="4">
        <f>[1]PhaseI_bioavailable!J16</f>
        <v>22.393197000000001</v>
      </c>
      <c r="O16" s="4">
        <f>[1]PhaseI_bioavailable!K16</f>
        <v>455.68245100000001</v>
      </c>
      <c r="P16" s="4">
        <f>[1]PhaseI_bioavailable!L16</f>
        <v>360.29297200000002</v>
      </c>
      <c r="Q16" s="4">
        <f>[1]PhaseI_bioavailable!M16</f>
        <v>17.215876999999999</v>
      </c>
      <c r="R16" s="4">
        <f>[1]PhaseI_bioavailable!N16</f>
        <v>393.15211799999997</v>
      </c>
      <c r="S16" s="4">
        <f>[1]PhaseI_bioavailable!O16</f>
        <v>0.58790299999999995</v>
      </c>
      <c r="T16" s="4">
        <f>[1]PhaseI_bioavailable!P16</f>
        <v>283.62162999999998</v>
      </c>
      <c r="U16" s="4">
        <f>[1]PhaseI_bioavailable!Q16</f>
        <v>0.193326</v>
      </c>
      <c r="V16" s="4">
        <f>[1]PhaseI_bioavailable!R16</f>
        <v>47.374161999999998</v>
      </c>
      <c r="W16" s="4">
        <f>[1]PhaseI_bioavailable!S16</f>
        <v>17.420691000000001</v>
      </c>
      <c r="X16" s="4">
        <f>[1]PhaseI_bioavailable!T16</f>
        <v>1.4758119999999999</v>
      </c>
      <c r="Y16" s="4">
        <f>[1]PseudoTotal!B16</f>
        <v>8202.1165857043707</v>
      </c>
      <c r="Z16" s="4">
        <f>[1]PseudoTotal!C16</f>
        <v>16.348022206800799</v>
      </c>
      <c r="AA16" s="4">
        <f>[1]PseudoTotal!D16</f>
        <v>247.01596113809899</v>
      </c>
      <c r="AB16" s="4">
        <f>[1]PseudoTotal!E16</f>
        <v>5053.78209576683</v>
      </c>
      <c r="AC16" s="4">
        <f>[1]PseudoTotal!F16</f>
        <v>0.60793719639139499</v>
      </c>
      <c r="AD16" s="4">
        <f>[1]PseudoTotal!G16</f>
        <v>12.8754337265788</v>
      </c>
      <c r="AE16" s="4">
        <f>[1]PseudoTotal!H16</f>
        <v>12.6266481609993</v>
      </c>
      <c r="AF16" s="4">
        <f>[1]PseudoTotal!I16</f>
        <v>20.725190839694701</v>
      </c>
      <c r="AG16" s="4">
        <f>[1]PseudoTotal!J16</f>
        <v>20282.789729354601</v>
      </c>
      <c r="AH16" s="4">
        <f>[1]PseudoTotal!K16</f>
        <v>10100.017349063201</v>
      </c>
      <c r="AI16" s="4">
        <f>[1]PseudoTotal!L16</f>
        <v>3502.2553782095802</v>
      </c>
      <c r="AJ16" s="4">
        <f>[1]PseudoTotal!M16</f>
        <v>727.56766134628697</v>
      </c>
      <c r="AK16" s="4">
        <f>[1]PseudoTotal!N16</f>
        <v>1965.9004163775201</v>
      </c>
      <c r="AL16" s="4">
        <f>[1]PseudoTotal!O16</f>
        <v>12.10253296322</v>
      </c>
      <c r="AM16" s="4">
        <f>[1]PseudoTotal!P16</f>
        <v>1016.63775156142</v>
      </c>
      <c r="AN16" s="4">
        <f>[1]PseudoTotal!Q16</f>
        <v>8.2083622484385792</v>
      </c>
      <c r="AO16" s="4">
        <f>[1]PseudoTotal!R16</f>
        <v>753.64330326162406</v>
      </c>
      <c r="AP16" s="4">
        <f>[1]PseudoTotal!S16</f>
        <v>59.892002081887597</v>
      </c>
      <c r="AQ16" s="4">
        <f>[1]PseudoTotal!T16</f>
        <v>39.555863983344899</v>
      </c>
    </row>
    <row r="17" spans="1:43" x14ac:dyDescent="0.2">
      <c r="A17" s="2" t="s">
        <v>95</v>
      </c>
      <c r="B17" s="3" t="s">
        <v>56</v>
      </c>
      <c r="C17" s="3" t="s">
        <v>52</v>
      </c>
      <c r="D17" s="3" t="s">
        <v>46</v>
      </c>
      <c r="E17" s="3" t="s">
        <v>61</v>
      </c>
      <c r="F17" s="4">
        <f>[1]PhaseI_bioavailable!B17</f>
        <v>13.987997999999999</v>
      </c>
      <c r="G17" s="4">
        <f>[1]PhaseI_bioavailable!C17</f>
        <v>8.1802E-2</v>
      </c>
      <c r="H17" s="4">
        <f>[1]PhaseI_bioavailable!D17</f>
        <v>25.655574000000001</v>
      </c>
      <c r="I17" s="4">
        <f>[1]PhaseI_bioavailable!E17</f>
        <v>2830.7484479999998</v>
      </c>
      <c r="J17" s="4">
        <f>[1]PhaseI_bioavailable!F17</f>
        <v>4.2200000000000001E-2</v>
      </c>
      <c r="K17" s="4">
        <f>[1]PhaseI_bioavailable!G17</f>
        <v>5.1947E-2</v>
      </c>
      <c r="L17" s="4">
        <f>[1]PhaseI_bioavailable!H17</f>
        <v>0</v>
      </c>
      <c r="M17" s="4">
        <f>[1]PhaseI_bioavailable!I17</f>
        <v>0.531837</v>
      </c>
      <c r="N17" s="4">
        <f>[1]PhaseI_bioavailable!J17</f>
        <v>6.2827010000000003</v>
      </c>
      <c r="O17" s="4">
        <f>[1]PhaseI_bioavailable!K17</f>
        <v>632.79037700000003</v>
      </c>
      <c r="P17" s="4">
        <f>[1]PhaseI_bioavailable!L17</f>
        <v>635.44020999999998</v>
      </c>
      <c r="Q17" s="4">
        <f>[1]PhaseI_bioavailable!M17</f>
        <v>61.039670000000001</v>
      </c>
      <c r="R17" s="4">
        <f>[1]PhaseI_bioavailable!N17</f>
        <v>368.06692099999998</v>
      </c>
      <c r="S17" s="4">
        <f>[1]PhaseI_bioavailable!O17</f>
        <v>0.33564500000000003</v>
      </c>
      <c r="T17" s="4">
        <f>[1]PhaseI_bioavailable!P17</f>
        <v>524.25116300000002</v>
      </c>
      <c r="U17" s="4">
        <f>[1]PhaseI_bioavailable!Q17</f>
        <v>0.21058399999999999</v>
      </c>
      <c r="V17" s="4">
        <f>[1]PhaseI_bioavailable!R17</f>
        <v>48.663392999999999</v>
      </c>
      <c r="W17" s="4">
        <f>[1]PhaseI_bioavailable!S17</f>
        <v>17.984569</v>
      </c>
      <c r="X17" s="4">
        <f>[1]PhaseI_bioavailable!T17</f>
        <v>3.3387889999999998</v>
      </c>
      <c r="Y17" s="4">
        <f>[1]PseudoTotal!B17</f>
        <v>8588.5314341846806</v>
      </c>
      <c r="Z17" s="4">
        <f>[1]PseudoTotal!C17</f>
        <v>7.4871070726915496</v>
      </c>
      <c r="AA17" s="4">
        <f>[1]PseudoTotal!D17</f>
        <v>179.58005893909601</v>
      </c>
      <c r="AB17" s="4">
        <f>[1]PseudoTotal!E17</f>
        <v>7664.8452848723</v>
      </c>
      <c r="AC17" s="4">
        <f>[1]PseudoTotal!F17</f>
        <v>0.46405329076620799</v>
      </c>
      <c r="AD17" s="4">
        <f>[1]PseudoTotal!G17</f>
        <v>11.7012524557957</v>
      </c>
      <c r="AE17" s="4">
        <f>[1]PseudoTotal!H17</f>
        <v>16.189833005893899</v>
      </c>
      <c r="AF17" s="4">
        <f>[1]PseudoTotal!I17</f>
        <v>14.8391453831041</v>
      </c>
      <c r="AG17" s="4">
        <f>[1]PseudoTotal!J17</f>
        <v>16872.237229862501</v>
      </c>
      <c r="AH17" s="4">
        <f>[1]PseudoTotal!K17</f>
        <v>10213.040275049099</v>
      </c>
      <c r="AI17" s="4">
        <f>[1]PseudoTotal!L17</f>
        <v>2865.9135559921401</v>
      </c>
      <c r="AJ17" s="4">
        <f>[1]PseudoTotal!M17</f>
        <v>518.35707269155205</v>
      </c>
      <c r="AK17" s="4">
        <f>[1]PseudoTotal!N17</f>
        <v>1622.11444007859</v>
      </c>
      <c r="AL17" s="4">
        <f>[1]PseudoTotal!O17</f>
        <v>17.589636542239699</v>
      </c>
      <c r="AM17" s="4">
        <f>[1]PseudoTotal!P17</f>
        <v>1679.3958742632601</v>
      </c>
      <c r="AN17" s="4">
        <f>[1]PseudoTotal!Q17</f>
        <v>6.7982563850687603</v>
      </c>
      <c r="AO17" s="4">
        <f>[1]PseudoTotal!R17</f>
        <v>689.77161100196497</v>
      </c>
      <c r="AP17" s="4">
        <f>[1]PseudoTotal!S17</f>
        <v>56.936087917485303</v>
      </c>
      <c r="AQ17" s="4">
        <f>[1]PseudoTotal!T17</f>
        <v>40.667976424361498</v>
      </c>
    </row>
    <row r="18" spans="1:43" x14ac:dyDescent="0.2">
      <c r="A18" s="2" t="s">
        <v>96</v>
      </c>
      <c r="B18" s="3" t="s">
        <v>56</v>
      </c>
      <c r="C18" s="3" t="s">
        <v>52</v>
      </c>
      <c r="D18" s="3" t="s">
        <v>48</v>
      </c>
      <c r="E18" s="3" t="s">
        <v>61</v>
      </c>
      <c r="F18" s="4">
        <f>[1]PhaseI_bioavailable!B18</f>
        <v>16.759080000000001</v>
      </c>
      <c r="G18" s="4">
        <f>[1]PhaseI_bioavailable!C18</f>
        <v>0.13516500000000001</v>
      </c>
      <c r="H18" s="4">
        <f>[1]PhaseI_bioavailable!D18</f>
        <v>27.137440000000002</v>
      </c>
      <c r="I18" s="4">
        <f>[1]PhaseI_bioavailable!E18</f>
        <v>3342.1533100000001</v>
      </c>
      <c r="J18" s="4">
        <f>[1]PhaseI_bioavailable!F18</f>
        <v>6.0728999999999998E-2</v>
      </c>
      <c r="K18" s="4">
        <f>[1]PhaseI_bioavailable!G18</f>
        <v>3.5441E-2</v>
      </c>
      <c r="L18" s="4">
        <f>[1]PhaseI_bioavailable!H18</f>
        <v>0</v>
      </c>
      <c r="M18" s="4">
        <f>[1]PhaseI_bioavailable!I18</f>
        <v>1.0599700000000001</v>
      </c>
      <c r="N18" s="4">
        <f>[1]PhaseI_bioavailable!J18</f>
        <v>7.6143929999999997</v>
      </c>
      <c r="O18" s="4">
        <f>[1]PhaseI_bioavailable!K18</f>
        <v>852.67267800000002</v>
      </c>
      <c r="P18" s="4">
        <f>[1]PhaseI_bioavailable!L18</f>
        <v>623.577989</v>
      </c>
      <c r="Q18" s="4">
        <f>[1]PhaseI_bioavailable!M18</f>
        <v>51.245752000000003</v>
      </c>
      <c r="R18" s="4">
        <f>[1]PhaseI_bioavailable!N18</f>
        <v>446.72902399999998</v>
      </c>
      <c r="S18" s="4">
        <f>[1]PhaseI_bioavailable!O18</f>
        <v>0.37908999999999998</v>
      </c>
      <c r="T18" s="4">
        <f>[1]PhaseI_bioavailable!P18</f>
        <v>550.32162000000005</v>
      </c>
      <c r="U18" s="4">
        <f>[1]PhaseI_bioavailable!Q18</f>
        <v>0.44283</v>
      </c>
      <c r="V18" s="4">
        <f>[1]PhaseI_bioavailable!R18</f>
        <v>61.818488000000002</v>
      </c>
      <c r="W18" s="4">
        <f>[1]PhaseI_bioavailable!S18</f>
        <v>20.134266</v>
      </c>
      <c r="X18" s="4">
        <f>[1]PhaseI_bioavailable!T18</f>
        <v>4.3661690000000002</v>
      </c>
      <c r="Y18" s="4">
        <f>[1]PseudoTotal!B18</f>
        <v>6566.5088576664602</v>
      </c>
      <c r="Z18" s="4">
        <f>[1]PseudoTotal!C18</f>
        <v>7.7588576664630402</v>
      </c>
      <c r="AA18" s="4">
        <f>[1]PseudoTotal!D18</f>
        <v>164.30016799022599</v>
      </c>
      <c r="AB18" s="4">
        <f>[1]PseudoTotal!E18</f>
        <v>9509.0103848503404</v>
      </c>
      <c r="AC18" s="4">
        <f>[1]PseudoTotal!F18</f>
        <v>0.48690439828955401</v>
      </c>
      <c r="AD18" s="4">
        <f>[1]PseudoTotal!G18</f>
        <v>9.8646533292608396</v>
      </c>
      <c r="AE18" s="4">
        <f>[1]PseudoTotal!H18</f>
        <v>16.4935858277337</v>
      </c>
      <c r="AF18" s="4">
        <f>[1]PseudoTotal!I18</f>
        <v>16.894471594380001</v>
      </c>
      <c r="AG18" s="4">
        <f>[1]PseudoTotal!J18</f>
        <v>16411.117898594999</v>
      </c>
      <c r="AH18" s="4">
        <f>[1]PseudoTotal!K18</f>
        <v>9672.8008552229694</v>
      </c>
      <c r="AI18" s="4">
        <f>[1]PseudoTotal!L18</f>
        <v>3112.0189370800199</v>
      </c>
      <c r="AJ18" s="4">
        <f>[1]PseudoTotal!M18</f>
        <v>586.78222357971902</v>
      </c>
      <c r="AK18" s="4">
        <f>[1]PseudoTotal!N18</f>
        <v>2025.5612400733</v>
      </c>
      <c r="AL18" s="4">
        <f>[1]PseudoTotal!O18</f>
        <v>16.5256566890654</v>
      </c>
      <c r="AM18" s="4">
        <f>[1]PseudoTotal!P18</f>
        <v>1615.45510079414</v>
      </c>
      <c r="AN18" s="4">
        <f>[1]PseudoTotal!Q18</f>
        <v>7.9804902260232096</v>
      </c>
      <c r="AO18" s="4">
        <f>[1]PseudoTotal!R18</f>
        <v>857.32284667073895</v>
      </c>
      <c r="AP18" s="4">
        <f>[1]PseudoTotal!S18</f>
        <v>67.125458155161894</v>
      </c>
      <c r="AQ18" s="4">
        <f>[1]PseudoTotal!T18</f>
        <v>43.630688759926699</v>
      </c>
    </row>
    <row r="19" spans="1:43" x14ac:dyDescent="0.2">
      <c r="A19" s="2" t="s">
        <v>97</v>
      </c>
      <c r="B19" s="3" t="s">
        <v>56</v>
      </c>
      <c r="C19" s="3" t="s">
        <v>52</v>
      </c>
      <c r="D19" s="3" t="s">
        <v>50</v>
      </c>
      <c r="E19" s="3" t="s">
        <v>61</v>
      </c>
      <c r="F19" s="4">
        <f>[1]PhaseI_bioavailable!B19</f>
        <v>17.952893</v>
      </c>
      <c r="G19" s="4">
        <f>[1]PhaseI_bioavailable!C19</f>
        <v>0.14426900000000001</v>
      </c>
      <c r="H19" s="4">
        <f>[1]PhaseI_bioavailable!D19</f>
        <v>26.101161000000001</v>
      </c>
      <c r="I19" s="4">
        <f>[1]PhaseI_bioavailable!E19</f>
        <v>2757.6250949999999</v>
      </c>
      <c r="J19" s="4">
        <f>[1]PhaseI_bioavailable!F19</f>
        <v>5.7668999999999998E-2</v>
      </c>
      <c r="K19" s="4">
        <f>[1]PhaseI_bioavailable!G19</f>
        <v>7.7890000000000001E-2</v>
      </c>
      <c r="L19" s="4">
        <f>[1]PhaseI_bioavailable!H19</f>
        <v>0</v>
      </c>
      <c r="M19" s="4">
        <f>[1]PhaseI_bioavailable!I19</f>
        <v>0.53424499999999997</v>
      </c>
      <c r="N19" s="4">
        <f>[1]PhaseI_bioavailable!J19</f>
        <v>7.300554</v>
      </c>
      <c r="O19" s="4">
        <f>[1]PhaseI_bioavailable!K19</f>
        <v>733.96287900000004</v>
      </c>
      <c r="P19" s="4">
        <f>[1]PhaseI_bioavailable!L19</f>
        <v>610.11613999999997</v>
      </c>
      <c r="Q19" s="4">
        <f>[1]PhaseI_bioavailable!M19</f>
        <v>51.991751000000001</v>
      </c>
      <c r="R19" s="4">
        <f>[1]PhaseI_bioavailable!N19</f>
        <v>323.868447</v>
      </c>
      <c r="S19" s="4">
        <f>[1]PhaseI_bioavailable!O19</f>
        <v>0.32233800000000001</v>
      </c>
      <c r="T19" s="4">
        <f>[1]PhaseI_bioavailable!P19</f>
        <v>554.75957900000003</v>
      </c>
      <c r="U19" s="4">
        <f>[1]PhaseI_bioavailable!Q19</f>
        <v>0.21260200000000001</v>
      </c>
      <c r="V19" s="4">
        <f>[1]PhaseI_bioavailable!R19</f>
        <v>45.728861000000002</v>
      </c>
      <c r="W19" s="4">
        <f>[1]PhaseI_bioavailable!S19</f>
        <v>18.076630999999999</v>
      </c>
      <c r="X19" s="4">
        <f>[1]PhaseI_bioavailable!T19</f>
        <v>3.698035</v>
      </c>
      <c r="Y19" s="4">
        <f>[1]PseudoTotal!B19</f>
        <v>8375.2726706139001</v>
      </c>
      <c r="Z19" s="4">
        <f>[1]PseudoTotal!C19</f>
        <v>12.3104939233406</v>
      </c>
      <c r="AA19" s="4">
        <f>[1]PseudoTotal!D19</f>
        <v>177.39171081333799</v>
      </c>
      <c r="AB19" s="4">
        <f>[1]PseudoTotal!E19</f>
        <v>7118.4559052664399</v>
      </c>
      <c r="AC19" s="4">
        <f>[1]PseudoTotal!F19</f>
        <v>0.43681832346525401</v>
      </c>
      <c r="AD19" s="4">
        <f>[1]PseudoTotal!G19</f>
        <v>9.7991975693362399</v>
      </c>
      <c r="AE19" s="4">
        <f>[1]PseudoTotal!H19</f>
        <v>14.741741975693399</v>
      </c>
      <c r="AF19" s="4">
        <f>[1]PseudoTotal!I19</f>
        <v>15.0397320037395</v>
      </c>
      <c r="AG19" s="4">
        <f>[1]PseudoTotal!J19</f>
        <v>17271.151449049601</v>
      </c>
      <c r="AH19" s="4">
        <f>[1]PseudoTotal!K19</f>
        <v>13762.3188688065</v>
      </c>
      <c r="AI19" s="4">
        <f>[1]PseudoTotal!L19</f>
        <v>3284.901838579</v>
      </c>
      <c r="AJ19" s="4">
        <f>[1]PseudoTotal!M19</f>
        <v>630.16126519164902</v>
      </c>
      <c r="AK19" s="4">
        <f>[1]PseudoTotal!N19</f>
        <v>1804.6801963228399</v>
      </c>
      <c r="AL19" s="4">
        <f>[1]PseudoTotal!O19</f>
        <v>16.845200997195398</v>
      </c>
      <c r="AM19" s="4">
        <f>[1]PseudoTotal!P19</f>
        <v>1601.2581801184199</v>
      </c>
      <c r="AN19" s="4">
        <f>[1]PseudoTotal!Q19</f>
        <v>8.2814934559052702</v>
      </c>
      <c r="AO19" s="4">
        <f>[1]PseudoTotal!R19</f>
        <v>1093.2143970084101</v>
      </c>
      <c r="AP19" s="4">
        <f>[1]PseudoTotal!S19</f>
        <v>68.143307884075995</v>
      </c>
      <c r="AQ19" s="4">
        <f>[1]PseudoTotal!T19</f>
        <v>45.189311311935199</v>
      </c>
    </row>
    <row r="20" spans="1:43" x14ac:dyDescent="0.2">
      <c r="A20" s="2" t="s">
        <v>64</v>
      </c>
      <c r="B20" s="3" t="s">
        <v>65</v>
      </c>
      <c r="C20" s="3" t="s">
        <v>45</v>
      </c>
      <c r="D20" s="3" t="s">
        <v>46</v>
      </c>
      <c r="E20" s="3"/>
      <c r="F20" s="4">
        <f>[1]PhaseI_bioavailable!B20</f>
        <v>35.901344999999999</v>
      </c>
      <c r="G20" s="4">
        <f>[1]PhaseI_bioavailable!C20</f>
        <v>20.721323999999999</v>
      </c>
      <c r="H20" s="4">
        <f>[1]PhaseI_bioavailable!D20</f>
        <v>5.1880769999999998</v>
      </c>
      <c r="I20" s="4">
        <f>[1]PhaseI_bioavailable!E20</f>
        <v>4754.2913799999997</v>
      </c>
      <c r="J20" s="4">
        <f>[1]PhaseI_bioavailable!F20</f>
        <v>6.8414200000000003</v>
      </c>
      <c r="K20" s="4">
        <f>[1]PhaseI_bioavailable!G20</f>
        <v>2.5059179999999999</v>
      </c>
      <c r="L20" s="4">
        <f>[1]PhaseI_bioavailable!H20</f>
        <v>0</v>
      </c>
      <c r="M20" s="4">
        <f>[1]PhaseI_bioavailable!I20</f>
        <v>7801.945839</v>
      </c>
      <c r="N20" s="4">
        <f>[1]PhaseI_bioavailable!J20</f>
        <v>2.311086</v>
      </c>
      <c r="O20" s="4">
        <f>[1]PhaseI_bioavailable!K20</f>
        <v>532.34182299999998</v>
      </c>
      <c r="P20" s="4">
        <f>[1]PhaseI_bioavailable!L20</f>
        <v>1190.6798040000001</v>
      </c>
      <c r="Q20" s="4">
        <f>[1]PhaseI_bioavailable!M20</f>
        <v>126.281217</v>
      </c>
      <c r="R20" s="4">
        <f>[1]PhaseI_bioavailable!N20</f>
        <v>492.03693399999997</v>
      </c>
      <c r="S20" s="4">
        <f>[1]PhaseI_bioavailable!O20</f>
        <v>6.0692820000000003</v>
      </c>
      <c r="T20" s="4">
        <f>[1]PhaseI_bioavailable!P20</f>
        <v>0</v>
      </c>
      <c r="U20" s="4">
        <f>[1]PhaseI_bioavailable!Q20</f>
        <v>34.735081000000001</v>
      </c>
      <c r="V20" s="4">
        <f>[1]PhaseI_bioavailable!R20</f>
        <v>402.18132200000002</v>
      </c>
      <c r="W20" s="4">
        <f>[1]PhaseI_bioavailable!S20</f>
        <v>9.8060360000000006</v>
      </c>
      <c r="X20" s="4">
        <f>[1]PhaseI_bioavailable!T20</f>
        <v>498.853566</v>
      </c>
      <c r="Y20" s="4">
        <f>[1]PseudoTotal!B20</f>
        <v>4497.3496152033904</v>
      </c>
      <c r="Z20" s="4">
        <f>[1]PseudoTotal!C20</f>
        <v>2251.06015391864</v>
      </c>
      <c r="AA20" s="4">
        <f>[1]PseudoTotal!D20</f>
        <v>24.993128632008801</v>
      </c>
      <c r="AB20" s="4">
        <f>[1]PseudoTotal!E20</f>
        <v>7880.4774619129903</v>
      </c>
      <c r="AC20" s="4">
        <f>[1]PseudoTotal!F20</f>
        <v>18.871623213444298</v>
      </c>
      <c r="AD20" s="4">
        <f>[1]PseudoTotal!G20</f>
        <v>30.744463640647101</v>
      </c>
      <c r="AE20" s="4">
        <f>[1]PseudoTotal!H20</f>
        <v>23.447070833987699</v>
      </c>
      <c r="AF20" s="4">
        <f>[1]PseudoTotal!I20</f>
        <v>13092.9008952411</v>
      </c>
      <c r="AG20" s="4">
        <f>[1]PseudoTotal!J20</f>
        <v>49668.211088424701</v>
      </c>
      <c r="AH20" s="4">
        <f>[1]PseudoTotal!K20</f>
        <v>13258.1082142296</v>
      </c>
      <c r="AI20" s="4">
        <f>[1]PseudoTotal!L20</f>
        <v>2026.66090780587</v>
      </c>
      <c r="AJ20" s="4">
        <f>[1]PseudoTotal!M20</f>
        <v>1282.0205748390099</v>
      </c>
      <c r="AK20" s="4">
        <f>[1]PseudoTotal!N20</f>
        <v>1983.19459714151</v>
      </c>
      <c r="AL20" s="4">
        <f>[1]PseudoTotal!O20</f>
        <v>65.552850636092302</v>
      </c>
      <c r="AM20" s="4">
        <f>[1]PseudoTotal!P20</f>
        <v>750.17669231977402</v>
      </c>
      <c r="AN20" s="4">
        <f>[1]PseudoTotal!Q20</f>
        <v>1302.3990890529301</v>
      </c>
      <c r="AO20" s="4">
        <f>[1]PseudoTotal!R20</f>
        <v>2066.12219255536</v>
      </c>
      <c r="AP20" s="4">
        <f>[1]PseudoTotal!S20</f>
        <v>24.9666247840427</v>
      </c>
      <c r="AQ20" s="4">
        <f>[1]PseudoTotal!T20</f>
        <v>2032.1383697188601</v>
      </c>
    </row>
    <row r="21" spans="1:43" x14ac:dyDescent="0.2">
      <c r="A21" s="2" t="s">
        <v>66</v>
      </c>
      <c r="B21" s="3" t="s">
        <v>65</v>
      </c>
      <c r="C21" s="3" t="s">
        <v>45</v>
      </c>
      <c r="D21" s="3" t="s">
        <v>48</v>
      </c>
      <c r="E21" s="3"/>
      <c r="F21" s="4">
        <f>[1]PhaseI_bioavailable!B21</f>
        <v>32.02713</v>
      </c>
      <c r="G21" s="4">
        <f>[1]PhaseI_bioavailable!C21</f>
        <v>4.4670529999999999</v>
      </c>
      <c r="H21" s="4">
        <f>[1]PhaseI_bioavailable!D21</f>
        <v>5.9241070000000002</v>
      </c>
      <c r="I21" s="4">
        <f>[1]PhaseI_bioavailable!E21</f>
        <v>4507.9810559999996</v>
      </c>
      <c r="J21" s="4">
        <f>[1]PhaseI_bioavailable!F21</f>
        <v>4.8646440000000002</v>
      </c>
      <c r="K21" s="4">
        <f>[1]PhaseI_bioavailable!G21</f>
        <v>1.958604</v>
      </c>
      <c r="L21" s="4">
        <f>[1]PhaseI_bioavailable!H21</f>
        <v>0</v>
      </c>
      <c r="M21" s="4">
        <f>[1]PhaseI_bioavailable!I21</f>
        <v>3371.6891770000002</v>
      </c>
      <c r="N21" s="4">
        <f>[1]PhaseI_bioavailable!J21</f>
        <v>1.3352040000000001</v>
      </c>
      <c r="O21" s="4">
        <f>[1]PhaseI_bioavailable!K21</f>
        <v>0</v>
      </c>
      <c r="P21" s="4">
        <f>[1]PhaseI_bioavailable!L21</f>
        <v>1274.6301820000001</v>
      </c>
      <c r="Q21" s="4">
        <f>[1]PhaseI_bioavailable!M21</f>
        <v>131.74296899999999</v>
      </c>
      <c r="R21" s="4">
        <f>[1]PhaseI_bioavailable!N21</f>
        <v>456.64503300000001</v>
      </c>
      <c r="S21" s="4">
        <f>[1]PhaseI_bioavailable!O21</f>
        <v>5.1897330000000004</v>
      </c>
      <c r="T21" s="4">
        <f>[1]PhaseI_bioavailable!P21</f>
        <v>0</v>
      </c>
      <c r="U21" s="4">
        <f>[1]PhaseI_bioavailable!Q21</f>
        <v>28.290942999999999</v>
      </c>
      <c r="V21" s="4">
        <f>[1]PhaseI_bioavailable!R21</f>
        <v>234.450096</v>
      </c>
      <c r="W21" s="4">
        <f>[1]PhaseI_bioavailable!S21</f>
        <v>8.3540899999999993</v>
      </c>
      <c r="X21" s="4">
        <f>[1]PhaseI_bioavailable!T21</f>
        <v>489.97251899999998</v>
      </c>
      <c r="Y21" s="4">
        <f>[1]PseudoTotal!B21</f>
        <v>4708.1594732038102</v>
      </c>
      <c r="Z21" s="4">
        <f>[1]PseudoTotal!C21</f>
        <v>1868.8877298213599</v>
      </c>
      <c r="AA21" s="4">
        <f>[1]PseudoTotal!D21</f>
        <v>42.123321163124302</v>
      </c>
      <c r="AB21" s="4">
        <f>[1]PseudoTotal!E21</f>
        <v>6490.2529664884596</v>
      </c>
      <c r="AC21" s="4">
        <f>[1]PseudoTotal!F21</f>
        <v>13.770211240057399</v>
      </c>
      <c r="AD21" s="4">
        <f>[1]PseudoTotal!G21</f>
        <v>28.788792541400401</v>
      </c>
      <c r="AE21" s="4">
        <f>[1]PseudoTotal!H21</f>
        <v>22.700971443473701</v>
      </c>
      <c r="AF21" s="4">
        <f>[1]PseudoTotal!I21</f>
        <v>6426.6853566305899</v>
      </c>
      <c r="AG21" s="4">
        <f>[1]PseudoTotal!J21</f>
        <v>53264.767244751602</v>
      </c>
      <c r="AH21" s="4">
        <f>[1]PseudoTotal!K21</f>
        <v>11258.8016690572</v>
      </c>
      <c r="AI21" s="4">
        <f>[1]PseudoTotal!L21</f>
        <v>1853.72929977833</v>
      </c>
      <c r="AJ21" s="4">
        <f>[1]PseudoTotal!M21</f>
        <v>1162.16260268614</v>
      </c>
      <c r="AK21" s="4">
        <f>[1]PseudoTotal!N21</f>
        <v>1653.8336158560401</v>
      </c>
      <c r="AL21" s="4">
        <f>[1]PseudoTotal!O21</f>
        <v>69.5698591732951</v>
      </c>
      <c r="AM21" s="4">
        <f>[1]PseudoTotal!P21</f>
        <v>817.968444386491</v>
      </c>
      <c r="AN21" s="4">
        <f>[1]PseudoTotal!Q21</f>
        <v>1821.9454948493899</v>
      </c>
      <c r="AO21" s="4">
        <f>[1]PseudoTotal!R21</f>
        <v>2021.44999348025</v>
      </c>
      <c r="AP21" s="4">
        <f>[1]PseudoTotal!S21</f>
        <v>24.5419872212805</v>
      </c>
      <c r="AQ21" s="4">
        <f>[1]PseudoTotal!T21</f>
        <v>2251.76033381145</v>
      </c>
    </row>
    <row r="22" spans="1:43" x14ac:dyDescent="0.2">
      <c r="A22" s="2" t="s">
        <v>67</v>
      </c>
      <c r="B22" s="3" t="s">
        <v>65</v>
      </c>
      <c r="C22" s="3" t="s">
        <v>45</v>
      </c>
      <c r="D22" s="3" t="s">
        <v>50</v>
      </c>
      <c r="E22" s="3"/>
      <c r="F22" s="4">
        <f>[1]PhaseI_bioavailable!B22</f>
        <v>30.526143999999999</v>
      </c>
      <c r="G22" s="4">
        <f>[1]PhaseI_bioavailable!C22</f>
        <v>17.921486000000002</v>
      </c>
      <c r="H22" s="4">
        <f>[1]PhaseI_bioavailable!D22</f>
        <v>5.315741</v>
      </c>
      <c r="I22" s="4">
        <f>[1]PhaseI_bioavailable!E22</f>
        <v>8633.3279039999998</v>
      </c>
      <c r="J22" s="4">
        <f>[1]PhaseI_bioavailable!F22</f>
        <v>5.9390780000000003</v>
      </c>
      <c r="K22" s="4">
        <f>[1]PhaseI_bioavailable!G22</f>
        <v>2.008362</v>
      </c>
      <c r="L22" s="4">
        <f>[1]PhaseI_bioavailable!H22</f>
        <v>0</v>
      </c>
      <c r="M22" s="4">
        <f>[1]PhaseI_bioavailable!I22</f>
        <v>3391.4318290000001</v>
      </c>
      <c r="N22" s="4">
        <f>[1]PhaseI_bioavailable!J22</f>
        <v>1.992181</v>
      </c>
      <c r="O22" s="4">
        <f>[1]PhaseI_bioavailable!K22</f>
        <v>510.90839999999997</v>
      </c>
      <c r="P22" s="4">
        <f>[1]PhaseI_bioavailable!L22</f>
        <v>1277.2981480000001</v>
      </c>
      <c r="Q22" s="4">
        <f>[1]PhaseI_bioavailable!M22</f>
        <v>163.14274900000001</v>
      </c>
      <c r="R22" s="4">
        <f>[1]PhaseI_bioavailable!N22</f>
        <v>325.53618899999998</v>
      </c>
      <c r="S22" s="4">
        <f>[1]PhaseI_bioavailable!O22</f>
        <v>5.4677740000000004</v>
      </c>
      <c r="T22" s="4">
        <f>[1]PhaseI_bioavailable!P22</f>
        <v>0</v>
      </c>
      <c r="U22" s="4">
        <f>[1]PhaseI_bioavailable!Q22</f>
        <v>46.000976999999999</v>
      </c>
      <c r="V22" s="4">
        <f>[1]PhaseI_bioavailable!R22</f>
        <v>252.755606</v>
      </c>
      <c r="W22" s="4">
        <f>[1]PhaseI_bioavailable!S22</f>
        <v>15.061085</v>
      </c>
      <c r="X22" s="4">
        <f>[1]PhaseI_bioavailable!T22</f>
        <v>454.47141199999999</v>
      </c>
      <c r="Y22" s="4">
        <f>[1]PseudoTotal!B22</f>
        <v>4035.9627946606101</v>
      </c>
      <c r="Z22" s="4">
        <f>[1]PseudoTotal!C22</f>
        <v>1800.5538199375201</v>
      </c>
      <c r="AA22" s="4">
        <f>[1]PseudoTotal!D22</f>
        <v>34.3954132348765</v>
      </c>
      <c r="AB22" s="4">
        <f>[1]PseudoTotal!E22</f>
        <v>10610.976995171801</v>
      </c>
      <c r="AC22" s="4">
        <f>[1]PseudoTotal!F22</f>
        <v>17.395004970178899</v>
      </c>
      <c r="AD22" s="4">
        <f>[1]PseudoTotal!G22</f>
        <v>29.7864598125533</v>
      </c>
      <c r="AE22" s="4">
        <f>[1]PseudoTotal!H22</f>
        <v>23.619887815961398</v>
      </c>
      <c r="AF22" s="4">
        <f>[1]PseudoTotal!I22</f>
        <v>5663.3413802896903</v>
      </c>
      <c r="AG22" s="4">
        <f>[1]PseudoTotal!J22</f>
        <v>49939.647827321802</v>
      </c>
      <c r="AH22" s="4">
        <f>[1]PseudoTotal!K22</f>
        <v>6847.1314967338803</v>
      </c>
      <c r="AI22" s="4">
        <f>[1]PseudoTotal!L22</f>
        <v>1968.19085487078</v>
      </c>
      <c r="AJ22" s="4">
        <f>[1]PseudoTotal!M22</f>
        <v>1968.35061062198</v>
      </c>
      <c r="AK22" s="4">
        <f>[1]PseudoTotal!N22</f>
        <v>1656.3476285146301</v>
      </c>
      <c r="AL22" s="4">
        <f>[1]PseudoTotal!O22</f>
        <v>71.259052825901705</v>
      </c>
      <c r="AM22" s="4">
        <f>[1]PseudoTotal!P22</f>
        <v>678.48267537631398</v>
      </c>
      <c r="AN22" s="4">
        <f>[1]PseudoTotal!Q22</f>
        <v>1542.6547855722799</v>
      </c>
      <c r="AO22" s="4">
        <f>[1]PseudoTotal!R22</f>
        <v>2064.84308435104</v>
      </c>
      <c r="AP22" s="4">
        <f>[1]PseudoTotal!S22</f>
        <v>31.8499715989776</v>
      </c>
      <c r="AQ22" s="4">
        <f>[1]PseudoTotal!T22</f>
        <v>2076.2922465208699</v>
      </c>
    </row>
    <row r="23" spans="1:43" x14ac:dyDescent="0.2">
      <c r="A23" s="2" t="s">
        <v>68</v>
      </c>
      <c r="B23" s="3" t="s">
        <v>65</v>
      </c>
      <c r="C23" s="3" t="s">
        <v>52</v>
      </c>
      <c r="D23" s="3" t="s">
        <v>46</v>
      </c>
      <c r="E23" s="3"/>
      <c r="F23" s="4">
        <f>[1]PhaseI_bioavailable!B23</f>
        <v>22.993034999999999</v>
      </c>
      <c r="G23" s="4">
        <f>[1]PhaseI_bioavailable!C23</f>
        <v>1.074336</v>
      </c>
      <c r="H23" s="4">
        <f>[1]PhaseI_bioavailable!D23</f>
        <v>9.6883029999999994</v>
      </c>
      <c r="I23" s="4">
        <f>[1]PhaseI_bioavailable!E23</f>
        <v>12517.676968</v>
      </c>
      <c r="J23" s="4">
        <f>[1]PhaseI_bioavailable!F23</f>
        <v>8.9595079999999996</v>
      </c>
      <c r="K23" s="4">
        <f>[1]PhaseI_bioavailable!G23</f>
        <v>2.5842540000000001</v>
      </c>
      <c r="L23" s="4">
        <f>[1]PhaseI_bioavailable!H23</f>
        <v>0</v>
      </c>
      <c r="M23" s="4">
        <f>[1]PhaseI_bioavailable!I23</f>
        <v>1647.3080689999999</v>
      </c>
      <c r="N23" s="4">
        <f>[1]PhaseI_bioavailable!J23</f>
        <v>2.1036519999999999</v>
      </c>
      <c r="O23" s="4">
        <f>[1]PhaseI_bioavailable!K23</f>
        <v>598.79240500000003</v>
      </c>
      <c r="P23" s="4">
        <f>[1]PhaseI_bioavailable!L23</f>
        <v>3020.0471389999998</v>
      </c>
      <c r="Q23" s="4">
        <f>[1]PhaseI_bioavailable!M23</f>
        <v>185.36585400000001</v>
      </c>
      <c r="R23" s="4">
        <f>[1]PhaseI_bioavailable!N23</f>
        <v>418.52705200000003</v>
      </c>
      <c r="S23" s="4">
        <f>[1]PhaseI_bioavailable!O23</f>
        <v>9.3630990000000001</v>
      </c>
      <c r="T23" s="4">
        <f>[1]PhaseI_bioavailable!P23</f>
        <v>0</v>
      </c>
      <c r="U23" s="4">
        <f>[1]PhaseI_bioavailable!Q23</f>
        <v>50.221128</v>
      </c>
      <c r="V23" s="4">
        <f>[1]PhaseI_bioavailable!R23</f>
        <v>41.238315</v>
      </c>
      <c r="W23" s="4">
        <f>[1]PhaseI_bioavailable!S23</f>
        <v>16.402107999999998</v>
      </c>
      <c r="X23" s="4">
        <f>[1]PhaseI_bioavailable!T23</f>
        <v>741.50578599999994</v>
      </c>
      <c r="Y23" s="4">
        <f>[1]PseudoTotal!B23</f>
        <v>4033.04732537874</v>
      </c>
      <c r="Z23" s="4">
        <f>[1]PseudoTotal!C23</f>
        <v>1289.59981230728</v>
      </c>
      <c r="AA23" s="4">
        <f>[1]PseudoTotal!D23</f>
        <v>39.526075881485497</v>
      </c>
      <c r="AB23" s="4">
        <f>[1]PseudoTotal!E23</f>
        <v>17857.621665102601</v>
      </c>
      <c r="AC23" s="4">
        <f>[1]PseudoTotal!F23</f>
        <v>20.595086472717501</v>
      </c>
      <c r="AD23" s="4">
        <f>[1]PseudoTotal!G23</f>
        <v>43.543035259418097</v>
      </c>
      <c r="AE23" s="4">
        <f>[1]PseudoTotal!H23</f>
        <v>20.607655181659698</v>
      </c>
      <c r="AF23" s="4">
        <f>[1]PseudoTotal!I23</f>
        <v>4566.9660812441298</v>
      </c>
      <c r="AG23" s="4">
        <f>[1]PseudoTotal!J23</f>
        <v>58874.346427135002</v>
      </c>
      <c r="AH23" s="4">
        <f>[1]PseudoTotal!K23</f>
        <v>10092.4219064218</v>
      </c>
      <c r="AI23" s="4">
        <f>[1]PseudoTotal!L23</f>
        <v>5637.8200831210597</v>
      </c>
      <c r="AJ23" s="4">
        <f>[1]PseudoTotal!M23</f>
        <v>3298.53197479555</v>
      </c>
      <c r="AK23" s="4">
        <f>[1]PseudoTotal!N23</f>
        <v>1624.3799436921799</v>
      </c>
      <c r="AL23" s="4">
        <f>[1]PseudoTotal!O23</f>
        <v>52.984649416811898</v>
      </c>
      <c r="AM23" s="4">
        <f>[1]PseudoTotal!P23</f>
        <v>640.85333154578404</v>
      </c>
      <c r="AN23" s="4">
        <f>[1]PseudoTotal!Q23</f>
        <v>1993.1458640568401</v>
      </c>
      <c r="AO23" s="4">
        <f>[1]PseudoTotal!R23</f>
        <v>3900.82450730661</v>
      </c>
      <c r="AP23" s="4">
        <f>[1]PseudoTotal!S23</f>
        <v>24.975784287438</v>
      </c>
      <c r="AQ23" s="4">
        <f>[1]PseudoTotal!T23</f>
        <v>3178.87786566564</v>
      </c>
    </row>
    <row r="24" spans="1:43" x14ac:dyDescent="0.2">
      <c r="A24" s="2" t="s">
        <v>69</v>
      </c>
      <c r="B24" s="3" t="s">
        <v>65</v>
      </c>
      <c r="C24" s="3" t="s">
        <v>52</v>
      </c>
      <c r="D24" s="3" t="s">
        <v>48</v>
      </c>
      <c r="E24" s="3"/>
      <c r="F24" s="4">
        <f>[1]PhaseI_bioavailable!B24</f>
        <v>23.649331</v>
      </c>
      <c r="G24" s="4">
        <f>[1]PhaseI_bioavailable!C24</f>
        <v>1.0839540000000001</v>
      </c>
      <c r="H24" s="4">
        <f>[1]PhaseI_bioavailable!D24</f>
        <v>10.214494</v>
      </c>
      <c r="I24" s="4">
        <f>[1]PhaseI_bioavailable!E24</f>
        <v>11639.821567000001</v>
      </c>
      <c r="J24" s="4">
        <f>[1]PhaseI_bioavailable!F24</f>
        <v>8.8286990000000003</v>
      </c>
      <c r="K24" s="4">
        <f>[1]PhaseI_bioavailable!G24</f>
        <v>2.585677</v>
      </c>
      <c r="L24" s="4">
        <f>[1]PhaseI_bioavailable!H24</f>
        <v>0</v>
      </c>
      <c r="M24" s="4">
        <f>[1]PhaseI_bioavailable!I24</f>
        <v>1507.3857410000001</v>
      </c>
      <c r="N24" s="4">
        <f>[1]PhaseI_bioavailable!J24</f>
        <v>2.775757</v>
      </c>
      <c r="O24" s="4">
        <f>[1]PhaseI_bioavailable!K24</f>
        <v>369.67705699999999</v>
      </c>
      <c r="P24" s="4">
        <f>[1]PhaseI_bioavailable!L24</f>
        <v>2830.461843</v>
      </c>
      <c r="Q24" s="4">
        <f>[1]PhaseI_bioavailable!M24</f>
        <v>182.097925</v>
      </c>
      <c r="R24" s="4">
        <f>[1]PhaseI_bioavailable!N24</f>
        <v>503.13860599999998</v>
      </c>
      <c r="S24" s="4">
        <f>[1]PhaseI_bioavailable!O24</f>
        <v>9.1823599999999992</v>
      </c>
      <c r="T24" s="4">
        <f>[1]PhaseI_bioavailable!P24</f>
        <v>0</v>
      </c>
      <c r="U24" s="4">
        <f>[1]PhaseI_bioavailable!Q24</f>
        <v>48.241045</v>
      </c>
      <c r="V24" s="4">
        <f>[1]PhaseI_bioavailable!R24</f>
        <v>52.044769000000002</v>
      </c>
      <c r="W24" s="4">
        <f>[1]PhaseI_bioavailable!S24</f>
        <v>16.347463999999999</v>
      </c>
      <c r="X24" s="4">
        <f>[1]PhaseI_bioavailable!T24</f>
        <v>784.03718200000003</v>
      </c>
      <c r="Y24" s="4">
        <f>[1]PseudoTotal!B24</f>
        <v>5420.2130964214703</v>
      </c>
      <c r="Z24" s="4">
        <f>[1]PseudoTotal!C24</f>
        <v>1225.1801689860799</v>
      </c>
      <c r="AA24" s="4">
        <f>[1]PseudoTotal!D24</f>
        <v>46.681628976143102</v>
      </c>
      <c r="AB24" s="4">
        <f>[1]PseudoTotal!E24</f>
        <v>14961.791749503</v>
      </c>
      <c r="AC24" s="4">
        <f>[1]PseudoTotal!F24</f>
        <v>19.723844433399599</v>
      </c>
      <c r="AD24" s="4">
        <f>[1]PseudoTotal!G24</f>
        <v>49.379504224652102</v>
      </c>
      <c r="AE24" s="4">
        <f>[1]PseudoTotal!H24</f>
        <v>24.553460487077501</v>
      </c>
      <c r="AF24" s="4">
        <f>[1]PseudoTotal!I24</f>
        <v>4366.2245278330001</v>
      </c>
      <c r="AG24" s="4">
        <f>[1]PseudoTotal!J24</f>
        <v>56920.974155069598</v>
      </c>
      <c r="AH24" s="4">
        <f>[1]PseudoTotal!K24</f>
        <v>5875.9163767395603</v>
      </c>
      <c r="AI24" s="4">
        <f>[1]PseudoTotal!L24</f>
        <v>4012.3322564612299</v>
      </c>
      <c r="AJ24" s="4">
        <f>[1]PseudoTotal!M24</f>
        <v>2445.5610089463198</v>
      </c>
      <c r="AK24" s="4">
        <f>[1]PseudoTotal!N24</f>
        <v>1889.91053677932</v>
      </c>
      <c r="AL24" s="4">
        <f>[1]PseudoTotal!O24</f>
        <v>57.065419980119302</v>
      </c>
      <c r="AM24" s="4">
        <f>[1]PseudoTotal!P24</f>
        <v>757.03590954274398</v>
      </c>
      <c r="AN24" s="4">
        <f>[1]PseudoTotal!Q24</f>
        <v>2219.8061630218699</v>
      </c>
      <c r="AO24" s="4">
        <f>[1]PseudoTotal!R24</f>
        <v>1644.5856113320101</v>
      </c>
      <c r="AP24" s="4">
        <f>[1]PseudoTotal!S24</f>
        <v>27.9747297465209</v>
      </c>
      <c r="AQ24" s="4">
        <f>[1]PseudoTotal!T24</f>
        <v>3041.7495029821098</v>
      </c>
    </row>
    <row r="25" spans="1:43" x14ac:dyDescent="0.2">
      <c r="A25" s="2" t="s">
        <v>70</v>
      </c>
      <c r="B25" s="3" t="s">
        <v>65</v>
      </c>
      <c r="C25" s="3" t="s">
        <v>52</v>
      </c>
      <c r="D25" s="3" t="s">
        <v>50</v>
      </c>
      <c r="E25" s="3"/>
      <c r="F25" s="4">
        <f>[1]PhaseI_bioavailable!B25</f>
        <v>28.048196000000001</v>
      </c>
      <c r="G25" s="4">
        <f>[1]PhaseI_bioavailable!C25</f>
        <v>1.159489</v>
      </c>
      <c r="H25" s="4">
        <f>[1]PhaseI_bioavailable!D25</f>
        <v>9.9693470000000008</v>
      </c>
      <c r="I25" s="4">
        <f>[1]PhaseI_bioavailable!E25</f>
        <v>11868.038484000001</v>
      </c>
      <c r="J25" s="4">
        <f>[1]PhaseI_bioavailable!F25</f>
        <v>9.026071</v>
      </c>
      <c r="K25" s="4">
        <f>[1]PhaseI_bioavailable!G25</f>
        <v>4.1458009999999996</v>
      </c>
      <c r="L25" s="4">
        <f>[1]PhaseI_bioavailable!H25</f>
        <v>0</v>
      </c>
      <c r="M25" s="4">
        <f>[1]PhaseI_bioavailable!I25</f>
        <v>3252.4204070000001</v>
      </c>
      <c r="N25" s="4">
        <f>[1]PhaseI_bioavailable!J25</f>
        <v>2.3114509999999999</v>
      </c>
      <c r="O25" s="4">
        <f>[1]PhaseI_bioavailable!K25</f>
        <v>687.79022099999997</v>
      </c>
      <c r="P25" s="4">
        <f>[1]PhaseI_bioavailable!L25</f>
        <v>3696.2578530000001</v>
      </c>
      <c r="Q25" s="4">
        <f>[1]PhaseI_bioavailable!M25</f>
        <v>218.61664999999999</v>
      </c>
      <c r="R25" s="4">
        <f>[1]PhaseI_bioavailable!N25</f>
        <v>490.33354600000001</v>
      </c>
      <c r="S25" s="4">
        <f>[1]PhaseI_bioavailable!O25</f>
        <v>8.7881269999999994</v>
      </c>
      <c r="T25" s="4">
        <f>[1]PhaseI_bioavailable!P25</f>
        <v>0</v>
      </c>
      <c r="U25" s="4">
        <f>[1]PhaseI_bioavailable!Q25</f>
        <v>72.281405000000007</v>
      </c>
      <c r="V25" s="4">
        <f>[1]PhaseI_bioavailable!R25</f>
        <v>55.224741000000002</v>
      </c>
      <c r="W25" s="4">
        <f>[1]PhaseI_bioavailable!S25</f>
        <v>15.165255</v>
      </c>
      <c r="X25" s="4">
        <f>[1]PhaseI_bioavailable!T25</f>
        <v>817.74864200000002</v>
      </c>
      <c r="Y25" s="4">
        <f>[1]PseudoTotal!B25</f>
        <v>5039.89184136734</v>
      </c>
      <c r="Z25" s="4">
        <f>[1]PseudoTotal!C25</f>
        <v>1147.3327547069</v>
      </c>
      <c r="AA25" s="4">
        <f>[1]PseudoTotal!D25</f>
        <v>32.187333088529797</v>
      </c>
      <c r="AB25" s="4">
        <f>[1]PseudoTotal!E25</f>
        <v>17710.976098277501</v>
      </c>
      <c r="AC25" s="4">
        <f>[1]PseudoTotal!F25</f>
        <v>19.130558151956201</v>
      </c>
      <c r="AD25" s="4">
        <f>[1]PseudoTotal!G25</f>
        <v>42.246962211243201</v>
      </c>
      <c r="AE25" s="4">
        <f>[1]PseudoTotal!H25</f>
        <v>20.9181799973294</v>
      </c>
      <c r="AF25" s="4">
        <f>[1]PseudoTotal!I25</f>
        <v>7047.5864601415396</v>
      </c>
      <c r="AG25" s="4">
        <f>[1]PseudoTotal!J25</f>
        <v>59927.894244892501</v>
      </c>
      <c r="AH25" s="4">
        <f>[1]PseudoTotal!K25</f>
        <v>14853.785552143099</v>
      </c>
      <c r="AI25" s="4">
        <f>[1]PseudoTotal!L25</f>
        <v>6964.2141807984999</v>
      </c>
      <c r="AJ25" s="4">
        <f>[1]PseudoTotal!M25</f>
        <v>2505.6749899853098</v>
      </c>
      <c r="AK25" s="4">
        <f>[1]PseudoTotal!N25</f>
        <v>2399.0185605554798</v>
      </c>
      <c r="AL25" s="4">
        <f>[1]PseudoTotal!O25</f>
        <v>56.8784216851382</v>
      </c>
      <c r="AM25" s="4">
        <f>[1]PseudoTotal!P25</f>
        <v>719.25490719722302</v>
      </c>
      <c r="AN25" s="4">
        <f>[1]PseudoTotal!Q25</f>
        <v>1926.82601148351</v>
      </c>
      <c r="AO25" s="4">
        <f>[1]PseudoTotal!R25</f>
        <v>2424.05528107892</v>
      </c>
      <c r="AP25" s="4">
        <f>[1]PseudoTotal!S25</f>
        <v>29.766908131926801</v>
      </c>
      <c r="AQ25" s="4">
        <f>[1]PseudoTotal!T25</f>
        <v>3087.0276405394602</v>
      </c>
    </row>
    <row r="26" spans="1:43" x14ac:dyDescent="0.2">
      <c r="A26" s="2" t="s">
        <v>71</v>
      </c>
      <c r="B26" s="3" t="s">
        <v>72</v>
      </c>
      <c r="C26" s="3" t="s">
        <v>45</v>
      </c>
      <c r="D26" s="3" t="s">
        <v>46</v>
      </c>
      <c r="E26" s="3"/>
      <c r="F26" s="4">
        <f>[1]PhaseI_bioavailable!B26</f>
        <v>125.40904500000001</v>
      </c>
      <c r="G26" s="4">
        <f>[1]PhaseI_bioavailable!C26</f>
        <v>8.8502999999999998E-2</v>
      </c>
      <c r="H26" s="4">
        <f>[1]PhaseI_bioavailable!D26</f>
        <v>118.47805099999999</v>
      </c>
      <c r="I26" s="4">
        <f>[1]PhaseI_bioavailable!E26</f>
        <v>2845.5701789999998</v>
      </c>
      <c r="J26" s="4">
        <f>[1]PhaseI_bioavailable!F26</f>
        <v>1.4239440000000001</v>
      </c>
      <c r="K26" s="4">
        <f>[1]PhaseI_bioavailable!G26</f>
        <v>2.6998999999999999E-2</v>
      </c>
      <c r="L26" s="4">
        <f>[1]PhaseI_bioavailable!H26</f>
        <v>4.1502999999999998E-2</v>
      </c>
      <c r="M26" s="4">
        <f>[1]PhaseI_bioavailable!I26</f>
        <v>3.0827469999999999</v>
      </c>
      <c r="N26" s="4">
        <f>[1]PhaseI_bioavailable!J26</f>
        <v>1.538173</v>
      </c>
      <c r="O26" s="4">
        <f>[1]PhaseI_bioavailable!K26</f>
        <v>429.43464899999998</v>
      </c>
      <c r="P26" s="4">
        <f>[1]PhaseI_bioavailable!L26</f>
        <v>187.015424</v>
      </c>
      <c r="Q26" s="4">
        <f>[1]PhaseI_bioavailable!M26</f>
        <v>58.593384</v>
      </c>
      <c r="R26" s="4">
        <f>[1]PhaseI_bioavailable!N26</f>
        <v>501.17264</v>
      </c>
      <c r="S26" s="4">
        <f>[1]PhaseI_bioavailable!O26</f>
        <v>2.0808430000000002</v>
      </c>
      <c r="T26" s="4">
        <f>[1]PhaseI_bioavailable!P26</f>
        <v>34.654967999999997</v>
      </c>
      <c r="U26" s="4">
        <f>[1]PhaseI_bioavailable!Q26</f>
        <v>19.51163</v>
      </c>
      <c r="V26" s="4">
        <f>[1]PhaseI_bioavailable!R26</f>
        <v>41.619070999999998</v>
      </c>
      <c r="W26" s="4">
        <f>[1]PhaseI_bioavailable!S26</f>
        <v>17.848412</v>
      </c>
      <c r="X26" s="4">
        <f>[1]PhaseI_bioavailable!T26</f>
        <v>127.55014799999999</v>
      </c>
      <c r="Y26" s="4">
        <f>[1]PseudoTotal!B26</f>
        <v>12495.2848595213</v>
      </c>
      <c r="Z26" s="4">
        <f>[1]PseudoTotal!C26</f>
        <v>20.297972489594201</v>
      </c>
      <c r="AA26" s="4">
        <f>[1]PseudoTotal!D26</f>
        <v>326.41779396461999</v>
      </c>
      <c r="AB26" s="4">
        <f>[1]PseudoTotal!E26</f>
        <v>4763.1048387096798</v>
      </c>
      <c r="AC26" s="4">
        <f>[1]PseudoTotal!F26</f>
        <v>3.2178394901144598</v>
      </c>
      <c r="AD26" s="4">
        <f>[1]PseudoTotal!G26</f>
        <v>8.2282453173777306</v>
      </c>
      <c r="AE26" s="4">
        <f>[1]PseudoTotal!H26</f>
        <v>20.727920135275799</v>
      </c>
      <c r="AF26" s="4">
        <f>[1]PseudoTotal!I26</f>
        <v>82.921436004162302</v>
      </c>
      <c r="AG26" s="4">
        <f>[1]PseudoTotal!J26</f>
        <v>20393.795525494301</v>
      </c>
      <c r="AH26" s="4">
        <f>[1]PseudoTotal!K26</f>
        <v>12003.609521332</v>
      </c>
      <c r="AI26" s="4">
        <f>[1]PseudoTotal!L26</f>
        <v>2267.4135015608699</v>
      </c>
      <c r="AJ26" s="4">
        <f>[1]PseudoTotal!M26</f>
        <v>1055.6386576482801</v>
      </c>
      <c r="AK26" s="4">
        <f>[1]PseudoTotal!N26</f>
        <v>1480.7329604578599</v>
      </c>
      <c r="AL26" s="4">
        <f>[1]PseudoTotal!O26</f>
        <v>16.784274193548399</v>
      </c>
      <c r="AM26" s="4">
        <f>[1]PseudoTotal!P26</f>
        <v>2061.8171175858502</v>
      </c>
      <c r="AN26" s="4">
        <f>[1]PseudoTotal!Q26</f>
        <v>848.944784079084</v>
      </c>
      <c r="AO26" s="4">
        <f>[1]PseudoTotal!R26</f>
        <v>543.623178980229</v>
      </c>
      <c r="AP26" s="4">
        <f>[1]PseudoTotal!S26</f>
        <v>32.405209417273703</v>
      </c>
      <c r="AQ26" s="4">
        <f>[1]PseudoTotal!T26</f>
        <v>645.17754942767897</v>
      </c>
    </row>
    <row r="27" spans="1:43" x14ac:dyDescent="0.2">
      <c r="A27" s="2" t="s">
        <v>73</v>
      </c>
      <c r="B27" s="3" t="s">
        <v>72</v>
      </c>
      <c r="C27" s="3" t="s">
        <v>45</v>
      </c>
      <c r="D27" s="3" t="s">
        <v>48</v>
      </c>
      <c r="E27" s="3"/>
      <c r="F27" s="4">
        <f>[1]PhaseI_bioavailable!B27</f>
        <v>120.95309</v>
      </c>
      <c r="G27" s="4">
        <f>[1]PhaseI_bioavailable!C27</f>
        <v>2.2130000000000001E-3</v>
      </c>
      <c r="H27" s="4">
        <f>[1]PhaseI_bioavailable!D27</f>
        <v>127.2276</v>
      </c>
      <c r="I27" s="4">
        <f>[1]PhaseI_bioavailable!E27</f>
        <v>2940.680069</v>
      </c>
      <c r="J27" s="4">
        <f>[1]PhaseI_bioavailable!F27</f>
        <v>1.470737</v>
      </c>
      <c r="K27" s="4">
        <f>[1]PhaseI_bioavailable!G27</f>
        <v>1.9406E-2</v>
      </c>
      <c r="L27" s="4">
        <f>[1]PhaseI_bioavailable!H27</f>
        <v>6.1593000000000002E-2</v>
      </c>
      <c r="M27" s="4">
        <f>[1]PhaseI_bioavailable!I27</f>
        <v>1.83172</v>
      </c>
      <c r="N27" s="4">
        <f>[1]PhaseI_bioavailable!J27</f>
        <v>4.5490199999999996</v>
      </c>
      <c r="O27" s="4">
        <f>[1]PhaseI_bioavailable!K27</f>
        <v>218.674609</v>
      </c>
      <c r="P27" s="4">
        <f>[1]PhaseI_bioavailable!L27</f>
        <v>182.06999300000001</v>
      </c>
      <c r="Q27" s="4">
        <f>[1]PhaseI_bioavailable!M27</f>
        <v>63.360635000000002</v>
      </c>
      <c r="R27" s="4">
        <f>[1]PhaseI_bioavailable!N27</f>
        <v>465.92206499999998</v>
      </c>
      <c r="S27" s="4">
        <f>[1]PhaseI_bioavailable!O27</f>
        <v>0.61236000000000002</v>
      </c>
      <c r="T27" s="4">
        <f>[1]PhaseI_bioavailable!P27</f>
        <v>31.273268999999999</v>
      </c>
      <c r="U27" s="4">
        <f>[1]PhaseI_bioavailable!Q27</f>
        <v>19.122363</v>
      </c>
      <c r="V27" s="4">
        <f>[1]PhaseI_bioavailable!R27</f>
        <v>32.534128000000003</v>
      </c>
      <c r="W27" s="4">
        <f>[1]PhaseI_bioavailable!S27</f>
        <v>18.962522</v>
      </c>
      <c r="X27" s="4">
        <f>[1]PhaseI_bioavailable!T27</f>
        <v>132.93621200000001</v>
      </c>
      <c r="Y27" s="4">
        <f>[1]PseudoTotal!B27</f>
        <v>11721.52539732</v>
      </c>
      <c r="Z27" s="4">
        <f>[1]PseudoTotal!C27</f>
        <v>20.043335151137398</v>
      </c>
      <c r="AA27" s="4">
        <f>[1]PseudoTotal!D27</f>
        <v>340.00077905889702</v>
      </c>
      <c r="AB27" s="4">
        <f>[1]PseudoTotal!E27</f>
        <v>5768.7363664693103</v>
      </c>
      <c r="AC27" s="4">
        <f>[1]PseudoTotal!F27</f>
        <v>3.9948192583359301</v>
      </c>
      <c r="AD27" s="4">
        <f>[1]PseudoTotal!G27</f>
        <v>8.0048301651604898</v>
      </c>
      <c r="AE27" s="4">
        <f>[1]PseudoTotal!H27</f>
        <v>21.393931131193501</v>
      </c>
      <c r="AF27" s="4">
        <f>[1]PseudoTotal!I27</f>
        <v>60.851316609535701</v>
      </c>
      <c r="AG27" s="4">
        <f>[1]PseudoTotal!J27</f>
        <v>23471.096914926798</v>
      </c>
      <c r="AH27" s="4">
        <f>[1]PseudoTotal!K27</f>
        <v>7547.0356808974802</v>
      </c>
      <c r="AI27" s="4">
        <f>[1]PseudoTotal!L27</f>
        <v>2334.2552196946099</v>
      </c>
      <c r="AJ27" s="4">
        <f>[1]PseudoTotal!M27</f>
        <v>1114.8332813960701</v>
      </c>
      <c r="AK27" s="4">
        <f>[1]PseudoTotal!N27</f>
        <v>1566.72639451543</v>
      </c>
      <c r="AL27" s="4">
        <f>[1]PseudoTotal!O27</f>
        <v>13.4113041445933</v>
      </c>
      <c r="AM27" s="4">
        <f>[1]PseudoTotal!P27</f>
        <v>2307.6698348395098</v>
      </c>
      <c r="AN27" s="4">
        <f>[1]PseudoTotal!Q27</f>
        <v>850.76153007167295</v>
      </c>
      <c r="AO27" s="4">
        <f>[1]PseudoTotal!R27</f>
        <v>558.29308195699605</v>
      </c>
      <c r="AP27" s="4">
        <f>[1]PseudoTotal!S27</f>
        <v>35.3354822374572</v>
      </c>
      <c r="AQ27" s="4">
        <f>[1]PseudoTotal!T27</f>
        <v>669.77641009660294</v>
      </c>
    </row>
    <row r="28" spans="1:43" x14ac:dyDescent="0.2">
      <c r="A28" s="2" t="s">
        <v>74</v>
      </c>
      <c r="B28" s="3" t="s">
        <v>72</v>
      </c>
      <c r="C28" s="3" t="s">
        <v>45</v>
      </c>
      <c r="D28" s="3" t="s">
        <v>50</v>
      </c>
      <c r="E28" s="3"/>
      <c r="F28" s="4">
        <f>[1]PhaseI_bioavailable!B28</f>
        <v>155.22919400000001</v>
      </c>
      <c r="G28" s="4">
        <f>[1]PhaseI_bioavailable!C28</f>
        <v>0</v>
      </c>
      <c r="H28" s="4">
        <f>[1]PhaseI_bioavailable!D28</f>
        <v>132.812003</v>
      </c>
      <c r="I28" s="4">
        <f>[1]PhaseI_bioavailable!E28</f>
        <v>2830.5677409999998</v>
      </c>
      <c r="J28" s="4">
        <f>[1]PhaseI_bioavailable!F28</f>
        <v>1.61269</v>
      </c>
      <c r="K28" s="4">
        <f>[1]PhaseI_bioavailable!G28</f>
        <v>0.174925</v>
      </c>
      <c r="L28" s="4">
        <f>[1]PhaseI_bioavailable!H28</f>
        <v>0</v>
      </c>
      <c r="M28" s="4">
        <f>[1]PhaseI_bioavailable!I28</f>
        <v>2.668193</v>
      </c>
      <c r="N28" s="4">
        <f>[1]PhaseI_bioavailable!J28</f>
        <v>3.411279</v>
      </c>
      <c r="O28" s="4">
        <f>[1]PhaseI_bioavailable!K28</f>
        <v>330.38336800000002</v>
      </c>
      <c r="P28" s="4">
        <f>[1]PhaseI_bioavailable!L28</f>
        <v>173.488461</v>
      </c>
      <c r="Q28" s="4">
        <f>[1]PhaseI_bioavailable!M28</f>
        <v>108.805391</v>
      </c>
      <c r="R28" s="4">
        <f>[1]PhaseI_bioavailable!N28</f>
        <v>389.80227600000001</v>
      </c>
      <c r="S28" s="4">
        <f>[1]PhaseI_bioavailable!O28</f>
        <v>0.72350400000000004</v>
      </c>
      <c r="T28" s="4">
        <f>[1]PhaseI_bioavailable!P28</f>
        <v>38.246550999999997</v>
      </c>
      <c r="U28" s="4">
        <f>[1]PhaseI_bioavailable!Q28</f>
        <v>26.226714999999999</v>
      </c>
      <c r="V28" s="4">
        <f>[1]PhaseI_bioavailable!R28</f>
        <v>32.049081000000001</v>
      </c>
      <c r="W28" s="4">
        <f>[1]PhaseI_bioavailable!S28</f>
        <v>17.275096999999999</v>
      </c>
      <c r="X28" s="4">
        <f>[1]PhaseI_bioavailable!T28</f>
        <v>170.91995700000001</v>
      </c>
      <c r="Y28" s="4">
        <f>[1]PseudoTotal!B28</f>
        <v>12407.284193473701</v>
      </c>
      <c r="Z28" s="4">
        <f>[1]PseudoTotal!C28</f>
        <v>14.625520712798</v>
      </c>
      <c r="AA28" s="4">
        <f>[1]PseudoTotal!D28</f>
        <v>332.47512149965303</v>
      </c>
      <c r="AB28" s="4">
        <f>[1]PseudoTotal!E28</f>
        <v>4217.77366350382</v>
      </c>
      <c r="AC28" s="4">
        <f>[1]PseudoTotal!F28</f>
        <v>4.1743809303401997</v>
      </c>
      <c r="AD28" s="4">
        <f>[1]PseudoTotal!G28</f>
        <v>9.37543392733164</v>
      </c>
      <c r="AE28" s="4">
        <f>[1]PseudoTotal!H28</f>
        <v>20.112531821337701</v>
      </c>
      <c r="AF28" s="4">
        <f>[1]PseudoTotal!I28</f>
        <v>67.360709326544793</v>
      </c>
      <c r="AG28" s="4">
        <f>[1]PseudoTotal!J28</f>
        <v>18836.785466327201</v>
      </c>
      <c r="AH28" s="4">
        <f>[1]PseudoTotal!K28</f>
        <v>9553.7780606341094</v>
      </c>
      <c r="AI28" s="4">
        <f>[1]PseudoTotal!L28</f>
        <v>1863.6094075445501</v>
      </c>
      <c r="AJ28" s="4">
        <f>[1]PseudoTotal!M28</f>
        <v>948.60853968988704</v>
      </c>
      <c r="AK28" s="4">
        <f>[1]PseudoTotal!N28</f>
        <v>1627.61802823421</v>
      </c>
      <c r="AL28" s="4">
        <f>[1]PseudoTotal!O28</f>
        <v>11.390592455450101</v>
      </c>
      <c r="AM28" s="4">
        <f>[1]PseudoTotal!P28</f>
        <v>2051.6084239759298</v>
      </c>
      <c r="AN28" s="4">
        <f>[1]PseudoTotal!Q28</f>
        <v>812.05160842397595</v>
      </c>
      <c r="AO28" s="4">
        <f>[1]PseudoTotal!R28</f>
        <v>512.90210599398301</v>
      </c>
      <c r="AP28" s="4">
        <f>[1]PseudoTotal!S28</f>
        <v>31.613775746355</v>
      </c>
      <c r="AQ28" s="4">
        <f>[1]PseudoTotal!T28</f>
        <v>628.54373987502902</v>
      </c>
    </row>
    <row r="29" spans="1:43" x14ac:dyDescent="0.2">
      <c r="A29" s="2" t="s">
        <v>75</v>
      </c>
      <c r="B29" s="3" t="s">
        <v>72</v>
      </c>
      <c r="C29" s="3" t="s">
        <v>52</v>
      </c>
      <c r="D29" s="3" t="s">
        <v>46</v>
      </c>
      <c r="E29" s="3"/>
      <c r="F29" s="4">
        <f>[1]PhaseI_bioavailable!B29</f>
        <v>138.61420000000001</v>
      </c>
      <c r="G29" s="4">
        <f>[1]PhaseI_bioavailable!C29</f>
        <v>0</v>
      </c>
      <c r="H29" s="4">
        <f>[1]PhaseI_bioavailable!D29</f>
        <v>140.45052799999999</v>
      </c>
      <c r="I29" s="4">
        <f>[1]PhaseI_bioavailable!E29</f>
        <v>3002.908469</v>
      </c>
      <c r="J29" s="4">
        <f>[1]PhaseI_bioavailable!F29</f>
        <v>1.562703</v>
      </c>
      <c r="K29" s="4">
        <f>[1]PhaseI_bioavailable!G29</f>
        <v>1.5671999999999998E-2</v>
      </c>
      <c r="L29" s="4">
        <f>[1]PhaseI_bioavailable!H29</f>
        <v>3.8581999999999998E-2</v>
      </c>
      <c r="M29" s="4">
        <f>[1]PhaseI_bioavailable!I29</f>
        <v>2.0404900000000001</v>
      </c>
      <c r="N29" s="4">
        <f>[1]PhaseI_bioavailable!J29</f>
        <v>2.2333620000000001</v>
      </c>
      <c r="O29" s="4">
        <f>[1]PhaseI_bioavailable!K29</f>
        <v>429.35842600000001</v>
      </c>
      <c r="P29" s="4">
        <f>[1]PhaseI_bioavailable!L29</f>
        <v>165.394924</v>
      </c>
      <c r="Q29" s="4">
        <f>[1]PhaseI_bioavailable!M29</f>
        <v>73.795266999999996</v>
      </c>
      <c r="R29" s="4">
        <f>[1]PhaseI_bioavailable!N29</f>
        <v>355.74565200000001</v>
      </c>
      <c r="S29" s="4">
        <f>[1]PhaseI_bioavailable!O29</f>
        <v>0.813801</v>
      </c>
      <c r="T29" s="4">
        <f>[1]PhaseI_bioavailable!P29</f>
        <v>44.242942999999997</v>
      </c>
      <c r="U29" s="4">
        <f>[1]PhaseI_bioavailable!Q29</f>
        <v>20.986598000000001</v>
      </c>
      <c r="V29" s="4">
        <f>[1]PhaseI_bioavailable!R29</f>
        <v>22.790989</v>
      </c>
      <c r="W29" s="4">
        <f>[1]PhaseI_bioavailable!S29</f>
        <v>21.56373</v>
      </c>
      <c r="X29" s="4">
        <f>[1]PhaseI_bioavailable!T29</f>
        <v>140.895352</v>
      </c>
      <c r="Y29" s="4">
        <f>[1]PseudoTotal!B29</f>
        <v>11577.8562653563</v>
      </c>
      <c r="Z29" s="4">
        <f>[1]PseudoTotal!C29</f>
        <v>18.707770270270299</v>
      </c>
      <c r="AA29" s="4">
        <f>[1]PseudoTotal!D29</f>
        <v>355.85585585585602</v>
      </c>
      <c r="AB29" s="4">
        <f>[1]PseudoTotal!E29</f>
        <v>5333.2309582309599</v>
      </c>
      <c r="AC29" s="4">
        <f>[1]PseudoTotal!F29</f>
        <v>4.3588759213759198</v>
      </c>
      <c r="AD29" s="4">
        <f>[1]PseudoTotal!G29</f>
        <v>7.6735257985257999</v>
      </c>
      <c r="AE29" s="4">
        <f>[1]PseudoTotal!H29</f>
        <v>20.208845208845201</v>
      </c>
      <c r="AF29" s="4">
        <f>[1]PseudoTotal!I29</f>
        <v>70.454545454545496</v>
      </c>
      <c r="AG29" s="4">
        <f>[1]PseudoTotal!J29</f>
        <v>18872.850122850101</v>
      </c>
      <c r="AH29" s="4">
        <f>[1]PseudoTotal!K29</f>
        <v>11663.0835380835</v>
      </c>
      <c r="AI29" s="4">
        <f>[1]PseudoTotal!L29</f>
        <v>2062.0009213759199</v>
      </c>
      <c r="AJ29" s="4">
        <f>[1]PseudoTotal!M29</f>
        <v>992.88493038493004</v>
      </c>
      <c r="AK29" s="4">
        <f>[1]PseudoTotal!N29</f>
        <v>1357.95454545455</v>
      </c>
      <c r="AL29" s="4">
        <f>[1]PseudoTotal!O29</f>
        <v>12.1427108927109</v>
      </c>
      <c r="AM29" s="4">
        <f>[1]PseudoTotal!P29</f>
        <v>2231.7772317772301</v>
      </c>
      <c r="AN29" s="4">
        <f>[1]PseudoTotal!Q29</f>
        <v>877.66175266175298</v>
      </c>
      <c r="AO29" s="4">
        <f>[1]PseudoTotal!R29</f>
        <v>558.200245700246</v>
      </c>
      <c r="AP29" s="4">
        <f>[1]PseudoTotal!S29</f>
        <v>39.212223587223598</v>
      </c>
      <c r="AQ29" s="4">
        <f>[1]PseudoTotal!T29</f>
        <v>618.49918099918102</v>
      </c>
    </row>
    <row r="30" spans="1:43" x14ac:dyDescent="0.2">
      <c r="A30" s="2" t="s">
        <v>76</v>
      </c>
      <c r="B30" s="3" t="s">
        <v>72</v>
      </c>
      <c r="C30" s="3" t="s">
        <v>52</v>
      </c>
      <c r="D30" s="3" t="s">
        <v>48</v>
      </c>
      <c r="E30" s="3"/>
      <c r="F30" s="4">
        <f>[1]PhaseI_bioavailable!B30</f>
        <v>86.588966999999997</v>
      </c>
      <c r="G30" s="4">
        <f>[1]PhaseI_bioavailable!C30</f>
        <v>0</v>
      </c>
      <c r="H30" s="4">
        <f>[1]PhaseI_bioavailable!D30</f>
        <v>105.521146</v>
      </c>
      <c r="I30" s="4">
        <f>[1]PhaseI_bioavailable!E30</f>
        <v>2544.1225439999998</v>
      </c>
      <c r="J30" s="4">
        <f>[1]PhaseI_bioavailable!F30</f>
        <v>1.2269509999999999</v>
      </c>
      <c r="K30" s="4">
        <f>[1]PhaseI_bioavailable!G30</f>
        <v>0</v>
      </c>
      <c r="L30" s="4">
        <f>[1]PhaseI_bioavailable!H30</f>
        <v>7.5630000000000003E-3</v>
      </c>
      <c r="M30" s="4">
        <f>[1]PhaseI_bioavailable!I30</f>
        <v>1.2641579999999999</v>
      </c>
      <c r="N30" s="4">
        <f>[1]PhaseI_bioavailable!J30</f>
        <v>1.629659</v>
      </c>
      <c r="O30" s="4">
        <f>[1]PhaseI_bioavailable!K30</f>
        <v>0</v>
      </c>
      <c r="P30" s="4">
        <f>[1]PhaseI_bioavailable!L30</f>
        <v>165.53224599999999</v>
      </c>
      <c r="Q30" s="4">
        <f>[1]PhaseI_bioavailable!M30</f>
        <v>56.325896</v>
      </c>
      <c r="R30" s="4">
        <f>[1]PhaseI_bioavailable!N30</f>
        <v>372.960373</v>
      </c>
      <c r="S30" s="4">
        <f>[1]PhaseI_bioavailable!O30</f>
        <v>0.54585399999999995</v>
      </c>
      <c r="T30" s="4">
        <f>[1]PhaseI_bioavailable!P30</f>
        <v>31.932511999999999</v>
      </c>
      <c r="U30" s="4">
        <f>[1]PhaseI_bioavailable!Q30</f>
        <v>13.600622</v>
      </c>
      <c r="V30" s="4">
        <f>[1]PhaseI_bioavailable!R30</f>
        <v>34.818514999999998</v>
      </c>
      <c r="W30" s="4">
        <f>[1]PhaseI_bioavailable!S30</f>
        <v>17.800865999999999</v>
      </c>
      <c r="X30" s="4">
        <f>[1]PhaseI_bioavailable!T30</f>
        <v>111.763792</v>
      </c>
      <c r="Y30" s="4">
        <f>[1]PseudoTotal!B30</f>
        <v>12080.944972158501</v>
      </c>
      <c r="Z30" s="4">
        <f>[1]PseudoTotal!C30</f>
        <v>15.563175565018</v>
      </c>
      <c r="AA30" s="4">
        <f>[1]PseudoTotal!D30</f>
        <v>218.05396331477201</v>
      </c>
      <c r="AB30" s="4">
        <f>[1]PseudoTotal!E30</f>
        <v>5047.0848345889299</v>
      </c>
      <c r="AC30" s="4">
        <f>[1]PseudoTotal!F30</f>
        <v>4.1491975106452701</v>
      </c>
      <c r="AD30" s="4">
        <f>[1]PseudoTotal!G30</f>
        <v>7.6001064526695101</v>
      </c>
      <c r="AE30" s="4">
        <f>[1]PseudoTotal!H30</f>
        <v>17.5493367179823</v>
      </c>
      <c r="AF30" s="4">
        <f>[1]PseudoTotal!I30</f>
        <v>61.961595152309201</v>
      </c>
      <c r="AG30" s="4">
        <f>[1]PseudoTotal!J30</f>
        <v>20009.621683589899</v>
      </c>
      <c r="AH30" s="4">
        <f>[1]PseudoTotal!K30</f>
        <v>8022.0275139207297</v>
      </c>
      <c r="AI30" s="4">
        <f>[1]PseudoTotal!L30</f>
        <v>2003.1116934163099</v>
      </c>
      <c r="AJ30" s="4">
        <f>[1]PseudoTotal!M30</f>
        <v>994.64665902391096</v>
      </c>
      <c r="AK30" s="4">
        <f>[1]PseudoTotal!N30</f>
        <v>1279.5815591221799</v>
      </c>
      <c r="AL30" s="4">
        <f>[1]PseudoTotal!O30</f>
        <v>11.881960366852301</v>
      </c>
      <c r="AM30" s="4">
        <f>[1]PseudoTotal!P30</f>
        <v>1808.5489682279699</v>
      </c>
      <c r="AN30" s="4">
        <f>[1]PseudoTotal!Q30</f>
        <v>703.44742875859799</v>
      </c>
      <c r="AO30" s="4">
        <f>[1]PseudoTotal!R30</f>
        <v>478.11578774975402</v>
      </c>
      <c r="AP30" s="4">
        <f>[1]PseudoTotal!S30</f>
        <v>31.063707828365501</v>
      </c>
      <c r="AQ30" s="4">
        <f>[1]PseudoTotal!T30</f>
        <v>572.54135276776901</v>
      </c>
    </row>
    <row r="31" spans="1:43" x14ac:dyDescent="0.2">
      <c r="A31" s="2" t="s">
        <v>77</v>
      </c>
      <c r="B31" s="3" t="s">
        <v>72</v>
      </c>
      <c r="C31" s="3" t="s">
        <v>52</v>
      </c>
      <c r="D31" s="3" t="s">
        <v>50</v>
      </c>
      <c r="E31" s="3"/>
      <c r="F31" s="4">
        <f>[1]PhaseI_bioavailable!B31</f>
        <v>141.88018600000001</v>
      </c>
      <c r="G31" s="4">
        <f>[1]PhaseI_bioavailable!C31</f>
        <v>4.9384999999999998E-2</v>
      </c>
      <c r="H31" s="4">
        <f>[1]PhaseI_bioavailable!D31</f>
        <v>135.92292</v>
      </c>
      <c r="I31" s="4">
        <f>[1]PhaseI_bioavailable!E31</f>
        <v>3036.8681799999999</v>
      </c>
      <c r="J31" s="4">
        <f>[1]PhaseI_bioavailable!F31</f>
        <v>1.563965</v>
      </c>
      <c r="K31" s="4">
        <f>[1]PhaseI_bioavailable!G31</f>
        <v>2.8544E-2</v>
      </c>
      <c r="L31" s="4">
        <f>[1]PhaseI_bioavailable!H31</f>
        <v>0</v>
      </c>
      <c r="M31" s="4">
        <f>[1]PhaseI_bioavailable!I31</f>
        <v>2.165648</v>
      </c>
      <c r="N31" s="4">
        <f>[1]PhaseI_bioavailable!J31</f>
        <v>3.7541720000000001</v>
      </c>
      <c r="O31" s="4">
        <f>[1]PhaseI_bioavailable!K31</f>
        <v>228.485456</v>
      </c>
      <c r="P31" s="4">
        <f>[1]PhaseI_bioavailable!L31</f>
        <v>206.20649800000001</v>
      </c>
      <c r="Q31" s="4">
        <f>[1]PhaseI_bioavailable!M31</f>
        <v>86.732926000000006</v>
      </c>
      <c r="R31" s="4">
        <f>[1]PhaseI_bioavailable!N31</f>
        <v>392.30418500000002</v>
      </c>
      <c r="S31" s="4">
        <f>[1]PhaseI_bioavailable!O31</f>
        <v>0.85091600000000001</v>
      </c>
      <c r="T31" s="4">
        <f>[1]PhaseI_bioavailable!P31</f>
        <v>44.813228000000002</v>
      </c>
      <c r="U31" s="4">
        <f>[1]PhaseI_bioavailable!Q31</f>
        <v>21.893559</v>
      </c>
      <c r="V31" s="4">
        <f>[1]PhaseI_bioavailable!R31</f>
        <v>24.374942999999998</v>
      </c>
      <c r="W31" s="4">
        <f>[1]PhaseI_bioavailable!S31</f>
        <v>20.196346999999999</v>
      </c>
      <c r="X31" s="4">
        <f>[1]PhaseI_bioavailable!T31</f>
        <v>135.92292</v>
      </c>
      <c r="Y31" s="4">
        <f>[1]PseudoTotal!B31</f>
        <v>12118.6218764028</v>
      </c>
      <c r="Z31" s="4">
        <f>[1]PseudoTotal!C31</f>
        <v>17.069429896753</v>
      </c>
      <c r="AA31" s="4">
        <f>[1]PseudoTotal!D31</f>
        <v>337.57294628160997</v>
      </c>
      <c r="AB31" s="4">
        <f>[1]PseudoTotal!E31</f>
        <v>4956.9803980248398</v>
      </c>
      <c r="AC31" s="4">
        <f>[1]PseudoTotal!F31</f>
        <v>3.6419833906928001</v>
      </c>
      <c r="AD31" s="4">
        <f>[1]PseudoTotal!G31</f>
        <v>7.5886577884183799</v>
      </c>
      <c r="AE31" s="4">
        <f>[1]PseudoTotal!H31</f>
        <v>17.431355678587501</v>
      </c>
      <c r="AF31" s="4">
        <f>[1]PseudoTotal!I31</f>
        <v>64.246034714948394</v>
      </c>
      <c r="AG31" s="4">
        <f>[1]PseudoTotal!J31</f>
        <v>17860.616489600499</v>
      </c>
      <c r="AH31" s="4">
        <f>[1]PseudoTotal!K31</f>
        <v>9240.0493790214005</v>
      </c>
      <c r="AI31" s="4">
        <f>[1]PseudoTotal!L31</f>
        <v>2238.8897201855498</v>
      </c>
      <c r="AJ31" s="4">
        <f>[1]PseudoTotal!M31</f>
        <v>1265.61798593446</v>
      </c>
      <c r="AK31" s="4">
        <f>[1]PseudoTotal!N31</f>
        <v>1808.7872213078001</v>
      </c>
      <c r="AL31" s="4">
        <f>[1]PseudoTotal!O31</f>
        <v>11.5631078856801</v>
      </c>
      <c r="AM31" s="4">
        <f>[1]PseudoTotal!P31</f>
        <v>2123.4512943289001</v>
      </c>
      <c r="AN31" s="4">
        <f>[1]PseudoTotal!Q31</f>
        <v>603.15352386652705</v>
      </c>
      <c r="AO31" s="4">
        <f>[1]PseudoTotal!R31</f>
        <v>553.83061499326698</v>
      </c>
      <c r="AP31" s="4">
        <f>[1]PseudoTotal!S31</f>
        <v>30.620604518928602</v>
      </c>
      <c r="AQ31" s="4">
        <f>[1]PseudoTotal!T31</f>
        <v>577.73455035163795</v>
      </c>
    </row>
    <row r="32" spans="1:43" x14ac:dyDescent="0.2">
      <c r="A32" s="2" t="s">
        <v>78</v>
      </c>
      <c r="B32" s="3" t="s">
        <v>79</v>
      </c>
      <c r="C32" s="3" t="s">
        <v>45</v>
      </c>
      <c r="D32" s="3" t="s">
        <v>46</v>
      </c>
      <c r="E32" s="3"/>
      <c r="F32" s="4">
        <f>[1]PhaseI_bioavailable!B32</f>
        <v>19.730172</v>
      </c>
      <c r="G32" s="4">
        <f>[1]PhaseI_bioavailable!C32</f>
        <v>7.0448999999999998E-2</v>
      </c>
      <c r="H32" s="4">
        <f>[1]PhaseI_bioavailable!D32</f>
        <v>11.905165</v>
      </c>
      <c r="I32" s="4">
        <f>[1]PhaseI_bioavailable!E32</f>
        <v>1616.4832060000001</v>
      </c>
      <c r="J32" s="4">
        <f>[1]PhaseI_bioavailable!F32</f>
        <v>8.5655999999999996E-2</v>
      </c>
      <c r="K32" s="4">
        <f>[1]PhaseI_bioavailable!G32</f>
        <v>0.21893299999999999</v>
      </c>
      <c r="L32" s="4">
        <f>[1]PhaseI_bioavailable!H32</f>
        <v>7.7359999999999998E-3</v>
      </c>
      <c r="M32" s="4">
        <f>[1]PhaseI_bioavailable!I32</f>
        <v>0.952075</v>
      </c>
      <c r="N32" s="4">
        <f>[1]PhaseI_bioavailable!J32</f>
        <v>7.1882590000000004</v>
      </c>
      <c r="O32" s="4">
        <f>[1]PhaseI_bioavailable!K32</f>
        <v>471.26164299999999</v>
      </c>
      <c r="P32" s="4">
        <f>[1]PhaseI_bioavailable!L32</f>
        <v>185.69573800000001</v>
      </c>
      <c r="Q32" s="4">
        <f>[1]PhaseI_bioavailable!M32</f>
        <v>62.523285000000001</v>
      </c>
      <c r="R32" s="4">
        <f>[1]PhaseI_bioavailable!N32</f>
        <v>375.61388699999998</v>
      </c>
      <c r="S32" s="4">
        <f>[1]PhaseI_bioavailable!O32</f>
        <v>0.73079300000000003</v>
      </c>
      <c r="T32" s="4">
        <f>[1]PhaseI_bioavailable!P32</f>
        <v>43.398249999999997</v>
      </c>
      <c r="U32" s="4">
        <f>[1]PhaseI_bioavailable!Q32</f>
        <v>0.47519099999999997</v>
      </c>
      <c r="V32" s="4">
        <f>[1]PhaseI_bioavailable!R32</f>
        <v>52.723680000000002</v>
      </c>
      <c r="W32" s="4">
        <f>[1]PhaseI_bioavailable!S32</f>
        <v>12.002257999999999</v>
      </c>
      <c r="X32" s="4">
        <f>[1]PhaseI_bioavailable!T32</f>
        <v>6.455546</v>
      </c>
      <c r="Y32" s="4">
        <f>[1]PseudoTotal!B32</f>
        <v>3992.2260776724902</v>
      </c>
      <c r="Z32" s="4">
        <f>[1]PseudoTotal!C32</f>
        <v>9.50086747631123</v>
      </c>
      <c r="AA32" s="4">
        <f>[1]PseudoTotal!D32</f>
        <v>28.575420392366201</v>
      </c>
      <c r="AB32" s="4">
        <f>[1]PseudoTotal!E32</f>
        <v>3441.21179767783</v>
      </c>
      <c r="AC32" s="4">
        <f>[1]PseudoTotal!F32</f>
        <v>0.30193180301614803</v>
      </c>
      <c r="AD32" s="4">
        <f>[1]PseudoTotal!G32</f>
        <v>3.2542873348458601</v>
      </c>
      <c r="AE32" s="4">
        <f>[1]PseudoTotal!H32</f>
        <v>11.898605365007301</v>
      </c>
      <c r="AF32" s="4">
        <f>[1]PseudoTotal!I32</f>
        <v>11.2680168156947</v>
      </c>
      <c r="AG32" s="4">
        <f>[1]PseudoTotal!J32</f>
        <v>8200.1534765781398</v>
      </c>
      <c r="AH32" s="4">
        <f>[1]PseudoTotal!K32</f>
        <v>8805.7186707593792</v>
      </c>
      <c r="AI32" s="4">
        <f>[1]PseudoTotal!L32</f>
        <v>821.19144534899203</v>
      </c>
      <c r="AJ32" s="4">
        <f>[1]PseudoTotal!M32</f>
        <v>213.69945282263501</v>
      </c>
      <c r="AK32" s="4">
        <f>[1]PseudoTotal!N32</f>
        <v>1574.9699719738401</v>
      </c>
      <c r="AL32" s="4">
        <f>[1]PseudoTotal!O32</f>
        <v>6.7503002802615804</v>
      </c>
      <c r="AM32" s="4">
        <f>[1]PseudoTotal!P32</f>
        <v>617.60142799946595</v>
      </c>
      <c r="AN32" s="4">
        <f>[1]PseudoTotal!Q32</f>
        <v>12.0517482984119</v>
      </c>
      <c r="AO32" s="4">
        <f>[1]PseudoTotal!R32</f>
        <v>456.425997597758</v>
      </c>
      <c r="AP32" s="4">
        <f>[1]PseudoTotal!S32</f>
        <v>24.273905645268901</v>
      </c>
      <c r="AQ32" s="4">
        <f>[1]PseudoTotal!T32</f>
        <v>32.880688642733197</v>
      </c>
    </row>
    <row r="33" spans="1:43" x14ac:dyDescent="0.2">
      <c r="A33" s="2" t="s">
        <v>80</v>
      </c>
      <c r="B33" s="3" t="s">
        <v>79</v>
      </c>
      <c r="C33" s="3" t="s">
        <v>45</v>
      </c>
      <c r="D33" s="3" t="s">
        <v>48</v>
      </c>
      <c r="E33" s="3"/>
      <c r="F33" s="4">
        <f>[1]PhaseI_bioavailable!B33</f>
        <v>14.858897000000001</v>
      </c>
      <c r="G33" s="4">
        <f>[1]PhaseI_bioavailable!C33</f>
        <v>0.151952</v>
      </c>
      <c r="H33" s="4">
        <f>[1]PhaseI_bioavailable!D33</f>
        <v>11.213139999999999</v>
      </c>
      <c r="I33" s="4">
        <f>[1]PhaseI_bioavailable!E33</f>
        <v>2023.590193</v>
      </c>
      <c r="J33" s="4">
        <f>[1]PhaseI_bioavailable!F33</f>
        <v>7.0126999999999995E-2</v>
      </c>
      <c r="K33" s="4">
        <f>[1]PhaseI_bioavailable!G33</f>
        <v>0.187503</v>
      </c>
      <c r="L33" s="4">
        <f>[1]PhaseI_bioavailable!H33</f>
        <v>0</v>
      </c>
      <c r="M33" s="4">
        <f>[1]PhaseI_bioavailable!I33</f>
        <v>1.000926</v>
      </c>
      <c r="N33" s="4">
        <f>[1]PhaseI_bioavailable!J33</f>
        <v>15.241020000000001</v>
      </c>
      <c r="O33" s="4">
        <f>[1]PhaseI_bioavailable!K33</f>
        <v>884.14485500000001</v>
      </c>
      <c r="P33" s="4">
        <f>[1]PhaseI_bioavailable!L33</f>
        <v>223.288005</v>
      </c>
      <c r="Q33" s="4">
        <f>[1]PhaseI_bioavailable!M33</f>
        <v>59.219183999999998</v>
      </c>
      <c r="R33" s="4">
        <f>[1]PhaseI_bioavailable!N33</f>
        <v>530.58439299999998</v>
      </c>
      <c r="S33" s="4">
        <f>[1]PhaseI_bioavailable!O33</f>
        <v>1.103183</v>
      </c>
      <c r="T33" s="4">
        <f>[1]PhaseI_bioavailable!P33</f>
        <v>40.473753000000002</v>
      </c>
      <c r="U33" s="4">
        <f>[1]PhaseI_bioavailable!Q33</f>
        <v>0.29696299999999998</v>
      </c>
      <c r="V33" s="4">
        <f>[1]PhaseI_bioavailable!R33</f>
        <v>70.039479</v>
      </c>
      <c r="W33" s="4">
        <f>[1]PhaseI_bioavailable!S33</f>
        <v>15.26149</v>
      </c>
      <c r="X33" s="4">
        <f>[1]PhaseI_bioavailable!T33</f>
        <v>4.8311159999999997</v>
      </c>
      <c r="Y33" s="4">
        <f>[1]PseudoTotal!B33</f>
        <v>4074.89561586639</v>
      </c>
      <c r="Z33" s="4">
        <f>[1]PseudoTotal!C33</f>
        <v>7.7358429018789199</v>
      </c>
      <c r="AA33" s="4">
        <f>[1]PseudoTotal!D33</f>
        <v>32.617880675887299</v>
      </c>
      <c r="AB33" s="4">
        <f>[1]PseudoTotal!E33</f>
        <v>3712.3238517745299</v>
      </c>
      <c r="AC33" s="4">
        <f>[1]PseudoTotal!F33</f>
        <v>0.26458931367432198</v>
      </c>
      <c r="AD33" s="4">
        <f>[1]PseudoTotal!G33</f>
        <v>3.0025932933194199</v>
      </c>
      <c r="AE33" s="4">
        <f>[1]PseudoTotal!H33</f>
        <v>13.4386417014614</v>
      </c>
      <c r="AF33" s="4">
        <f>[1]PseudoTotal!I33</f>
        <v>8.3450221816283907</v>
      </c>
      <c r="AG33" s="4">
        <f>[1]PseudoTotal!J33</f>
        <v>8074.9282359081399</v>
      </c>
      <c r="AH33" s="4">
        <f>[1]PseudoTotal!K33</f>
        <v>9227.81837160752</v>
      </c>
      <c r="AI33" s="4">
        <f>[1]PseudoTotal!L33</f>
        <v>807.54175365344497</v>
      </c>
      <c r="AJ33" s="4">
        <f>[1]PseudoTotal!M33</f>
        <v>331.37884916492698</v>
      </c>
      <c r="AK33" s="4">
        <f>[1]PseudoTotal!N33</f>
        <v>1510.8380088726501</v>
      </c>
      <c r="AL33" s="4">
        <f>[1]PseudoTotal!O33</f>
        <v>5.5868345511482298</v>
      </c>
      <c r="AM33" s="4">
        <f>[1]PseudoTotal!P33</f>
        <v>696.00567588726506</v>
      </c>
      <c r="AN33" s="4">
        <f>[1]PseudoTotal!Q33</f>
        <v>10.4705441022965</v>
      </c>
      <c r="AO33" s="4">
        <f>[1]PseudoTotal!R33</f>
        <v>508.62800104384098</v>
      </c>
      <c r="AP33" s="4">
        <f>[1]PseudoTotal!S33</f>
        <v>25.360940762004201</v>
      </c>
      <c r="AQ33" s="4">
        <f>[1]PseudoTotal!T33</f>
        <v>26.8185673277662</v>
      </c>
    </row>
    <row r="34" spans="1:43" x14ac:dyDescent="0.2">
      <c r="A34" s="2" t="s">
        <v>81</v>
      </c>
      <c r="B34" s="3" t="s">
        <v>79</v>
      </c>
      <c r="C34" s="3" t="s">
        <v>45</v>
      </c>
      <c r="D34" s="3" t="s">
        <v>50</v>
      </c>
      <c r="E34" s="3"/>
      <c r="F34" s="4">
        <f>[1]PhaseI_bioavailable!B34</f>
        <v>20.409182000000001</v>
      </c>
      <c r="G34" s="4">
        <f>[1]PhaseI_bioavailable!C34</f>
        <v>2.2662999999999999E-2</v>
      </c>
      <c r="H34" s="4">
        <f>[1]PhaseI_bioavailable!D34</f>
        <v>12.68863</v>
      </c>
      <c r="I34" s="4">
        <f>[1]PhaseI_bioavailable!E34</f>
        <v>1700.519282</v>
      </c>
      <c r="J34" s="4">
        <f>[1]PhaseI_bioavailable!F34</f>
        <v>6.8205000000000002E-2</v>
      </c>
      <c r="K34" s="4">
        <f>[1]PhaseI_bioavailable!G34</f>
        <v>0.21823400000000001</v>
      </c>
      <c r="L34" s="4">
        <f>[1]PhaseI_bioavailable!H34</f>
        <v>2.7885E-2</v>
      </c>
      <c r="M34" s="4">
        <f>[1]PhaseI_bioavailable!I34</f>
        <v>0.75139800000000001</v>
      </c>
      <c r="N34" s="4">
        <f>[1]PhaseI_bioavailable!J34</f>
        <v>8.1484629999999996</v>
      </c>
      <c r="O34" s="4">
        <f>[1]PhaseI_bioavailable!K34</f>
        <v>346.38063599999998</v>
      </c>
      <c r="P34" s="4">
        <f>[1]PhaseI_bioavailable!L34</f>
        <v>197.25887499999999</v>
      </c>
      <c r="Q34" s="4">
        <f>[1]PhaseI_bioavailable!M34</f>
        <v>61.825713999999998</v>
      </c>
      <c r="R34" s="4">
        <f>[1]PhaseI_bioavailable!N34</f>
        <v>324.97375199999999</v>
      </c>
      <c r="S34" s="4">
        <f>[1]PhaseI_bioavailable!O34</f>
        <v>0.91189200000000004</v>
      </c>
      <c r="T34" s="4">
        <f>[1]PhaseI_bioavailable!P34</f>
        <v>49.760221999999999</v>
      </c>
      <c r="U34" s="4">
        <f>[1]PhaseI_bioavailable!Q34</f>
        <v>0.39443800000000001</v>
      </c>
      <c r="V34" s="4">
        <f>[1]PhaseI_bioavailable!R34</f>
        <v>39.703754000000004</v>
      </c>
      <c r="W34" s="4">
        <f>[1]PhaseI_bioavailable!S34</f>
        <v>12.70679</v>
      </c>
      <c r="X34" s="4">
        <f>[1]PhaseI_bioavailable!T34</f>
        <v>5.6593169999999997</v>
      </c>
      <c r="Y34" s="4">
        <f>[1]PseudoTotal!B34</f>
        <v>3815.75226244344</v>
      </c>
      <c r="Z34" s="4">
        <f>[1]PseudoTotal!C34</f>
        <v>7.0574095022624403</v>
      </c>
      <c r="AA34" s="4">
        <f>[1]PseudoTotal!D34</f>
        <v>29.849759615384599</v>
      </c>
      <c r="AB34" s="4">
        <f>[1]PseudoTotal!E34</f>
        <v>3318.7217194570098</v>
      </c>
      <c r="AC34" s="4">
        <f>[1]PseudoTotal!F34</f>
        <v>0.31103883861236797</v>
      </c>
      <c r="AD34" s="4">
        <f>[1]PseudoTotal!G34</f>
        <v>2.7488687782805399</v>
      </c>
      <c r="AE34" s="4">
        <f>[1]PseudoTotal!H34</f>
        <v>11.100113122172001</v>
      </c>
      <c r="AF34" s="4">
        <f>[1]PseudoTotal!I34</f>
        <v>7.7672511312217196</v>
      </c>
      <c r="AG34" s="4">
        <f>[1]PseudoTotal!J34</f>
        <v>7444.8529411764703</v>
      </c>
      <c r="AH34" s="4">
        <f>[1]PseudoTotal!K34</f>
        <v>9677.8704751131208</v>
      </c>
      <c r="AI34" s="4">
        <f>[1]PseudoTotal!L34</f>
        <v>963.61236802413305</v>
      </c>
      <c r="AJ34" s="4">
        <f>[1]PseudoTotal!M34</f>
        <v>215.144230769231</v>
      </c>
      <c r="AK34" s="4">
        <f>[1]PseudoTotal!N34</f>
        <v>1274.4626696832599</v>
      </c>
      <c r="AL34" s="4">
        <f>[1]PseudoTotal!O34</f>
        <v>5.9827488687782804</v>
      </c>
      <c r="AM34" s="4">
        <f>[1]PseudoTotal!P34</f>
        <v>592.90158371040695</v>
      </c>
      <c r="AN34" s="4">
        <f>[1]PseudoTotal!Q34</f>
        <v>9.7808257918552002</v>
      </c>
      <c r="AO34" s="4">
        <f>[1]PseudoTotal!R34</f>
        <v>445.418552036199</v>
      </c>
      <c r="AP34" s="4">
        <f>[1]PseudoTotal!S34</f>
        <v>22.956730769230798</v>
      </c>
      <c r="AQ34" s="4">
        <f>[1]PseudoTotal!T34</f>
        <v>26.187782805429901</v>
      </c>
    </row>
    <row r="35" spans="1:43" x14ac:dyDescent="0.2">
      <c r="A35" s="2" t="s">
        <v>82</v>
      </c>
      <c r="B35" s="3" t="s">
        <v>79</v>
      </c>
      <c r="C35" s="3" t="s">
        <v>52</v>
      </c>
      <c r="D35" s="3" t="s">
        <v>46</v>
      </c>
      <c r="E35" s="3"/>
      <c r="F35" s="4">
        <f>[1]PhaseI_bioavailable!B35</f>
        <v>17.484966</v>
      </c>
      <c r="G35" s="4">
        <f>[1]PhaseI_bioavailable!C35</f>
        <v>0</v>
      </c>
      <c r="H35" s="4">
        <f>[1]PhaseI_bioavailable!D35</f>
        <v>15.52765</v>
      </c>
      <c r="I35" s="4">
        <f>[1]PhaseI_bioavailable!E35</f>
        <v>9772.4324959999994</v>
      </c>
      <c r="J35" s="4">
        <f>[1]PhaseI_bioavailable!F35</f>
        <v>0.10956299999999999</v>
      </c>
      <c r="K35" s="4">
        <f>[1]PhaseI_bioavailable!G35</f>
        <v>0.1104</v>
      </c>
      <c r="L35" s="4">
        <f>[1]PhaseI_bioavailable!H35</f>
        <v>0</v>
      </c>
      <c r="M35" s="4">
        <f>[1]PhaseI_bioavailable!I35</f>
        <v>0.66183199999999998</v>
      </c>
      <c r="N35" s="4">
        <f>[1]PhaseI_bioavailable!J35</f>
        <v>4.7293950000000002</v>
      </c>
      <c r="O35" s="4">
        <f>[1]PhaseI_bioavailable!K35</f>
        <v>864.75651500000004</v>
      </c>
      <c r="P35" s="4">
        <f>[1]PhaseI_bioavailable!L35</f>
        <v>357.31635399999999</v>
      </c>
      <c r="Q35" s="4">
        <f>[1]PhaseI_bioavailable!M35</f>
        <v>92.736705999999998</v>
      </c>
      <c r="R35" s="4">
        <f>[1]PhaseI_bioavailable!N35</f>
        <v>421.29465900000002</v>
      </c>
      <c r="S35" s="4">
        <f>[1]PhaseI_bioavailable!O35</f>
        <v>0.63612800000000003</v>
      </c>
      <c r="T35" s="4">
        <f>[1]PhaseI_bioavailable!P35</f>
        <v>92.111778999999999</v>
      </c>
      <c r="U35" s="4">
        <f>[1]PhaseI_bioavailable!Q35</f>
        <v>0.438639</v>
      </c>
      <c r="V35" s="4">
        <f>[1]PhaseI_bioavailable!R35</f>
        <v>171.92547999999999</v>
      </c>
      <c r="W35" s="4">
        <f>[1]PhaseI_bioavailable!S35</f>
        <v>31.429076999999999</v>
      </c>
      <c r="X35" s="4">
        <f>[1]PhaseI_bioavailable!T35</f>
        <v>10.108478</v>
      </c>
      <c r="Y35" s="4">
        <f>[1]PseudoTotal!B35</f>
        <v>3781.0068093385198</v>
      </c>
      <c r="Z35" s="4">
        <f>[1]PseudoTotal!C35</f>
        <v>10.169712340188999</v>
      </c>
      <c r="AA35" s="4">
        <f>[1]PseudoTotal!D35</f>
        <v>32.198096164535897</v>
      </c>
      <c r="AB35" s="4">
        <f>[1]PseudoTotal!E35</f>
        <v>12368.5901889939</v>
      </c>
      <c r="AC35" s="4">
        <f>[1]PseudoTotal!F35</f>
        <v>0.30774909672040002</v>
      </c>
      <c r="AD35" s="4">
        <f>[1]PseudoTotal!G35</f>
        <v>2.32629238465814</v>
      </c>
      <c r="AE35" s="4">
        <f>[1]PseudoTotal!H35</f>
        <v>13.8670789327404</v>
      </c>
      <c r="AF35" s="4">
        <f>[1]PseudoTotal!I35</f>
        <v>9.1926070038910499</v>
      </c>
      <c r="AG35" s="4">
        <f>[1]PseudoTotal!J35</f>
        <v>7243.0864369093897</v>
      </c>
      <c r="AH35" s="4">
        <f>[1]PseudoTotal!K35</f>
        <v>11740.8977209561</v>
      </c>
      <c r="AI35" s="4">
        <f>[1]PseudoTotal!L35</f>
        <v>1069.42224847137</v>
      </c>
      <c r="AJ35" s="4">
        <f>[1]PseudoTotal!M35</f>
        <v>220.04412173429699</v>
      </c>
      <c r="AK35" s="4">
        <f>[1]PseudoTotal!N35</f>
        <v>1637.3158699277401</v>
      </c>
      <c r="AL35" s="4">
        <f>[1]PseudoTotal!O35</f>
        <v>6.8889834630350197</v>
      </c>
      <c r="AM35" s="4">
        <f>[1]PseudoTotal!P35</f>
        <v>659.22040022234603</v>
      </c>
      <c r="AN35" s="4">
        <f>[1]PseudoTotal!Q35</f>
        <v>10.382330461367401</v>
      </c>
      <c r="AO35" s="4">
        <f>[1]PseudoTotal!R35</f>
        <v>679.28362979432995</v>
      </c>
      <c r="AP35" s="4">
        <f>[1]PseudoTotal!S35</f>
        <v>38.083657587548601</v>
      </c>
      <c r="AQ35" s="4">
        <f>[1]PseudoTotal!T35</f>
        <v>34.183053085047298</v>
      </c>
    </row>
    <row r="36" spans="1:43" x14ac:dyDescent="0.2">
      <c r="A36" s="2" t="s">
        <v>83</v>
      </c>
      <c r="B36" s="3" t="s">
        <v>79</v>
      </c>
      <c r="C36" s="3" t="s">
        <v>52</v>
      </c>
      <c r="D36" s="3" t="s">
        <v>48</v>
      </c>
      <c r="E36" s="3"/>
      <c r="F36" s="4">
        <f>[1]PhaseI_bioavailable!B36</f>
        <v>23.715022000000001</v>
      </c>
      <c r="G36" s="4">
        <f>[1]PhaseI_bioavailable!C36</f>
        <v>0.10333199999999999</v>
      </c>
      <c r="H36" s="4">
        <f>[1]PhaseI_bioavailable!D36</f>
        <v>15.737603999999999</v>
      </c>
      <c r="I36" s="4">
        <f>[1]PhaseI_bioavailable!E36</f>
        <v>8165.1939130000001</v>
      </c>
      <c r="J36" s="4">
        <f>[1]PhaseI_bioavailable!F36</f>
        <v>0.11346299999999999</v>
      </c>
      <c r="K36" s="4">
        <f>[1]PhaseI_bioavailable!G36</f>
        <v>0.17566300000000001</v>
      </c>
      <c r="L36" s="4">
        <f>[1]PhaseI_bioavailable!H36</f>
        <v>0</v>
      </c>
      <c r="M36" s="4">
        <f>[1]PhaseI_bioavailable!I36</f>
        <v>0.59585200000000005</v>
      </c>
      <c r="N36" s="4">
        <f>[1]PhaseI_bioavailable!J36</f>
        <v>5.1141379999999996</v>
      </c>
      <c r="O36" s="4">
        <f>[1]PhaseI_bioavailable!K36</f>
        <v>956.799215</v>
      </c>
      <c r="P36" s="4">
        <f>[1]PhaseI_bioavailable!L36</f>
        <v>352.68777599999999</v>
      </c>
      <c r="Q36" s="4">
        <f>[1]PhaseI_bioavailable!M36</f>
        <v>100.233186</v>
      </c>
      <c r="R36" s="4">
        <f>[1]PhaseI_bioavailable!N36</f>
        <v>446.98085400000002</v>
      </c>
      <c r="S36" s="4">
        <f>[1]PhaseI_bioavailable!O36</f>
        <v>0.65733900000000001</v>
      </c>
      <c r="T36" s="4">
        <f>[1]PhaseI_bioavailable!P36</f>
        <v>89.715267999999995</v>
      </c>
      <c r="U36" s="4">
        <f>[1]PhaseI_bioavailable!Q36</f>
        <v>0.36650700000000003</v>
      </c>
      <c r="V36" s="4">
        <f>[1]PhaseI_bioavailable!R36</f>
        <v>227.62641099999999</v>
      </c>
      <c r="W36" s="4">
        <f>[1]PhaseI_bioavailable!S36</f>
        <v>27.286451</v>
      </c>
      <c r="X36" s="4">
        <f>[1]PhaseI_bioavailable!T36</f>
        <v>10.531419</v>
      </c>
      <c r="Y36" s="4">
        <f>[1]PseudoTotal!B36</f>
        <v>4256.3888097949903</v>
      </c>
      <c r="Z36" s="4">
        <f>[1]PseudoTotal!C36</f>
        <v>9.7388418280182201</v>
      </c>
      <c r="AA36" s="4">
        <f>[1]PseudoTotal!D36</f>
        <v>36.2653936503417</v>
      </c>
      <c r="AB36" s="4">
        <f>[1]PseudoTotal!E36</f>
        <v>11940.311788154901</v>
      </c>
      <c r="AC36" s="4">
        <f>[1]PseudoTotal!F36</f>
        <v>0.29144718109339401</v>
      </c>
      <c r="AD36" s="4">
        <f>[1]PseudoTotal!G36</f>
        <v>2.8213090831435101</v>
      </c>
      <c r="AE36" s="4">
        <f>[1]PseudoTotal!H36</f>
        <v>11.862631691343999</v>
      </c>
      <c r="AF36" s="4">
        <f>[1]PseudoTotal!I36</f>
        <v>10.6830153758542</v>
      </c>
      <c r="AG36" s="4">
        <f>[1]PseudoTotal!J36</f>
        <v>7372.4017653758601</v>
      </c>
      <c r="AH36" s="4">
        <f>[1]PseudoTotal!K36</f>
        <v>13025.430666287</v>
      </c>
      <c r="AI36" s="4">
        <f>[1]PseudoTotal!L36</f>
        <v>1379.34225512529</v>
      </c>
      <c r="AJ36" s="4">
        <f>[1]PseudoTotal!M36</f>
        <v>211.738325740319</v>
      </c>
      <c r="AK36" s="4">
        <f>[1]PseudoTotal!N36</f>
        <v>1870.2484339407699</v>
      </c>
      <c r="AL36" s="4">
        <f>[1]PseudoTotal!O36</f>
        <v>5.8412229498860997</v>
      </c>
      <c r="AM36" s="4">
        <f>[1]PseudoTotal!P36</f>
        <v>888.59624145785904</v>
      </c>
      <c r="AN36" s="4">
        <f>[1]PseudoTotal!Q36</f>
        <v>11.8466151765376</v>
      </c>
      <c r="AO36" s="4">
        <f>[1]PseudoTotal!R36</f>
        <v>732.75555239180005</v>
      </c>
      <c r="AP36" s="4">
        <f>[1]PseudoTotal!S36</f>
        <v>42.663991315489803</v>
      </c>
      <c r="AQ36" s="4">
        <f>[1]PseudoTotal!T36</f>
        <v>33.826879271070602</v>
      </c>
    </row>
    <row r="37" spans="1:43" x14ac:dyDescent="0.2">
      <c r="A37" s="2" t="s">
        <v>84</v>
      </c>
      <c r="B37" s="3" t="s">
        <v>79</v>
      </c>
      <c r="C37" s="3" t="s">
        <v>52</v>
      </c>
      <c r="D37" s="3" t="s">
        <v>50</v>
      </c>
      <c r="E37" s="3"/>
      <c r="F37" s="4">
        <f>[1]PhaseI_bioavailable!B37</f>
        <v>26.908604</v>
      </c>
      <c r="G37" s="4">
        <f>[1]PhaseI_bioavailable!C37</f>
        <v>7.6138999999999998E-2</v>
      </c>
      <c r="H37" s="4">
        <f>[1]PhaseI_bioavailable!D37</f>
        <v>14.617464999999999</v>
      </c>
      <c r="I37" s="4">
        <f>[1]PhaseI_bioavailable!E37</f>
        <v>10186.978394</v>
      </c>
      <c r="J37" s="4">
        <f>[1]PhaseI_bioavailable!F37</f>
        <v>0.106127</v>
      </c>
      <c r="K37" s="4">
        <f>[1]PhaseI_bioavailable!G37</f>
        <v>8.7202000000000002E-2</v>
      </c>
      <c r="L37" s="4">
        <f>[1]PhaseI_bioavailable!H37</f>
        <v>0</v>
      </c>
      <c r="M37" s="4">
        <f>[1]PhaseI_bioavailable!I37</f>
        <v>0.88353800000000005</v>
      </c>
      <c r="N37" s="4">
        <f>[1]PhaseI_bioavailable!J37</f>
        <v>4.5875130000000004</v>
      </c>
      <c r="O37" s="4">
        <f>[1]PhaseI_bioavailable!K37</f>
        <v>702.60606600000006</v>
      </c>
      <c r="P37" s="4">
        <f>[1]PhaseI_bioavailable!L37</f>
        <v>362.90674300000001</v>
      </c>
      <c r="Q37" s="4">
        <f>[1]PhaseI_bioavailable!M37</f>
        <v>77.827212000000003</v>
      </c>
      <c r="R37" s="4">
        <f>[1]PhaseI_bioavailable!N37</f>
        <v>383.02945699999998</v>
      </c>
      <c r="S37" s="4">
        <f>[1]PhaseI_bioavailable!O37</f>
        <v>0.94355800000000001</v>
      </c>
      <c r="T37" s="4">
        <f>[1]PhaseI_bioavailable!P37</f>
        <v>118.572799</v>
      </c>
      <c r="U37" s="4">
        <f>[1]PhaseI_bioavailable!Q37</f>
        <v>1.1951499999999999</v>
      </c>
      <c r="V37" s="4">
        <f>[1]PhaseI_bioavailable!R37</f>
        <v>223.57149100000001</v>
      </c>
      <c r="W37" s="4">
        <f>[1]PhaseI_bioavailable!S37</f>
        <v>29.186077000000001</v>
      </c>
      <c r="X37" s="4">
        <f>[1]PhaseI_bioavailable!T37</f>
        <v>9.9043299999999999</v>
      </c>
      <c r="Y37" s="4">
        <f>[1]PseudoTotal!B37</f>
        <v>3995.0044903457601</v>
      </c>
      <c r="Z37" s="4">
        <f>[1]PseudoTotal!C37</f>
        <v>7.1851145038167896</v>
      </c>
      <c r="AA37" s="4">
        <f>[1]PseudoTotal!D37</f>
        <v>32.365008980691499</v>
      </c>
      <c r="AB37" s="4">
        <f>[1]PseudoTotal!E37</f>
        <v>15494.4993264481</v>
      </c>
      <c r="AC37" s="4">
        <f>[1]PseudoTotal!F37</f>
        <v>0.28625954198473302</v>
      </c>
      <c r="AD37" s="4">
        <f>[1]PseudoTotal!G37</f>
        <v>2.5342388863942502</v>
      </c>
      <c r="AE37" s="4">
        <f>[1]PseudoTotal!H37</f>
        <v>11.7871576111361</v>
      </c>
      <c r="AF37" s="4">
        <f>[1]PseudoTotal!I37</f>
        <v>11.0294117647059</v>
      </c>
      <c r="AG37" s="4">
        <f>[1]PseudoTotal!J37</f>
        <v>7457.9030085316599</v>
      </c>
      <c r="AH37" s="4">
        <f>[1]PseudoTotal!K37</f>
        <v>9965.1998203861694</v>
      </c>
      <c r="AI37" s="4">
        <f>[1]PseudoTotal!L37</f>
        <v>963.85271665918299</v>
      </c>
      <c r="AJ37" s="4">
        <f>[1]PseudoTotal!M37</f>
        <v>247.36192186798399</v>
      </c>
      <c r="AK37" s="4">
        <f>[1]PseudoTotal!N37</f>
        <v>1753.08711270768</v>
      </c>
      <c r="AL37" s="4">
        <f>[1]PseudoTotal!O37</f>
        <v>5.5568028738212796</v>
      </c>
      <c r="AM37" s="4">
        <f>[1]PseudoTotal!P37</f>
        <v>1340.36820835204</v>
      </c>
      <c r="AN37" s="4">
        <f>[1]PseudoTotal!Q37</f>
        <v>9.6479568926807406</v>
      </c>
      <c r="AO37" s="4">
        <f>[1]PseudoTotal!R37</f>
        <v>765.40749887741299</v>
      </c>
      <c r="AP37" s="4">
        <f>[1]PseudoTotal!S37</f>
        <v>49.775482712168802</v>
      </c>
      <c r="AQ37" s="4">
        <f>[1]PseudoTotal!T37</f>
        <v>29.220925011225901</v>
      </c>
    </row>
    <row r="38" spans="1:43" x14ac:dyDescent="0.2">
      <c r="A38" s="2" t="s">
        <v>85</v>
      </c>
      <c r="B38" s="3" t="s">
        <v>86</v>
      </c>
      <c r="C38" s="3" t="s">
        <v>45</v>
      </c>
      <c r="D38" s="3" t="s">
        <v>46</v>
      </c>
      <c r="E38" s="3"/>
      <c r="F38" s="4">
        <f>[1]PhaseI_bioavailable!B38</f>
        <v>4.3231760000000001</v>
      </c>
      <c r="G38" s="4">
        <f>[1]PhaseI_bioavailable!C38</f>
        <v>0</v>
      </c>
      <c r="H38" s="4">
        <f>[1]PhaseI_bioavailable!D38</f>
        <v>11.793167</v>
      </c>
      <c r="I38" s="4">
        <f>[1]PhaseI_bioavailable!E38</f>
        <v>59747.614651000004</v>
      </c>
      <c r="J38" s="4">
        <f>[1]PhaseI_bioavailable!F38</f>
        <v>9.5155000000000003E-2</v>
      </c>
      <c r="K38" s="4">
        <f>[1]PhaseI_bioavailable!G38</f>
        <v>7.8134999999999996E-2</v>
      </c>
      <c r="L38" s="4">
        <f>[1]PhaseI_bioavailable!H38</f>
        <v>0.13303799999999999</v>
      </c>
      <c r="M38" s="4">
        <f>[1]PhaseI_bioavailable!I38</f>
        <v>0.64426000000000005</v>
      </c>
      <c r="N38" s="4">
        <f>[1]PhaseI_bioavailable!J38</f>
        <v>3.1911360000000002</v>
      </c>
      <c r="O38" s="4">
        <f>[1]PhaseI_bioavailable!K38</f>
        <v>386.22345300000001</v>
      </c>
      <c r="P38" s="4">
        <f>[1]PhaseI_bioavailable!L38</f>
        <v>847.39919999999995</v>
      </c>
      <c r="Q38" s="4">
        <f>[1]PhaseI_bioavailable!M38</f>
        <v>92.373037999999994</v>
      </c>
      <c r="R38" s="4">
        <f>[1]PhaseI_bioavailable!N38</f>
        <v>547.98399500000005</v>
      </c>
      <c r="S38" s="4">
        <f>[1]PhaseI_bioavailable!O38</f>
        <v>1.2938130000000001</v>
      </c>
      <c r="T38" s="4">
        <f>[1]PhaseI_bioavailable!P38</f>
        <v>47.054478000000003</v>
      </c>
      <c r="U38" s="4">
        <f>[1]PhaseI_bioavailable!Q38</f>
        <v>0.44337300000000002</v>
      </c>
      <c r="V38" s="4">
        <f>[1]PhaseI_bioavailable!R38</f>
        <v>79.248999999999995</v>
      </c>
      <c r="W38" s="4">
        <f>[1]PhaseI_bioavailable!S38</f>
        <v>59.329023999999997</v>
      </c>
      <c r="X38" s="4">
        <f>[1]PhaseI_bioavailable!T38</f>
        <v>1.1642969999999999</v>
      </c>
      <c r="Y38" s="4">
        <f>[1]PseudoTotal!B38</f>
        <v>8155.1499348109501</v>
      </c>
      <c r="Z38" s="4">
        <f>[1]PseudoTotal!C38</f>
        <v>10.2037157757497</v>
      </c>
      <c r="AA38" s="4">
        <f>[1]PseudoTotal!D38</f>
        <v>33.233213820078198</v>
      </c>
      <c r="AB38" s="4">
        <f>[1]PseudoTotal!E38</f>
        <v>106584.09387223001</v>
      </c>
      <c r="AC38" s="4">
        <f>[1]PseudoTotal!F38</f>
        <v>0.63705997392438096</v>
      </c>
      <c r="AD38" s="4">
        <f>[1]PseudoTotal!G38</f>
        <v>8.2024119947848799</v>
      </c>
      <c r="AE38" s="4">
        <f>[1]PseudoTotal!H38</f>
        <v>25.366688396349399</v>
      </c>
      <c r="AF38" s="4">
        <f>[1]PseudoTotal!I38</f>
        <v>16.3298565840939</v>
      </c>
      <c r="AG38" s="4">
        <f>[1]PseudoTotal!J38</f>
        <v>17584.7457627119</v>
      </c>
      <c r="AH38" s="4">
        <f>[1]PseudoTotal!K38</f>
        <v>13168.187744458901</v>
      </c>
      <c r="AI38" s="4">
        <f>[1]PseudoTotal!L38</f>
        <v>9566.4928292046898</v>
      </c>
      <c r="AJ38" s="4">
        <f>[1]PseudoTotal!M38</f>
        <v>421.44719687092601</v>
      </c>
      <c r="AK38" s="4">
        <f>[1]PseudoTotal!N38</f>
        <v>2310.7887874837002</v>
      </c>
      <c r="AL38" s="4">
        <f>[1]PseudoTotal!O38</f>
        <v>32.257714037375102</v>
      </c>
      <c r="AM38" s="4">
        <f>[1]PseudoTotal!P38</f>
        <v>378.31377661886103</v>
      </c>
      <c r="AN38" s="4">
        <f>[1]PseudoTotal!Q38</f>
        <v>3.76059322033898</v>
      </c>
      <c r="AO38" s="4">
        <f>[1]PseudoTotal!R38</f>
        <v>699.96740547588001</v>
      </c>
      <c r="AP38" s="4">
        <f>[1]PseudoTotal!S38</f>
        <v>168.07909604519801</v>
      </c>
      <c r="AQ38" s="4">
        <f>[1]PseudoTotal!T38</f>
        <v>36.082138200782303</v>
      </c>
    </row>
    <row r="39" spans="1:43" x14ac:dyDescent="0.2">
      <c r="A39" s="2" t="s">
        <v>87</v>
      </c>
      <c r="B39" s="3" t="s">
        <v>86</v>
      </c>
      <c r="C39" s="3" t="s">
        <v>45</v>
      </c>
      <c r="D39" s="3" t="s">
        <v>48</v>
      </c>
      <c r="E39" s="3"/>
      <c r="F39" s="4">
        <f>[1]PhaseI_bioavailable!B39</f>
        <v>0.381996</v>
      </c>
      <c r="G39" s="4">
        <f>[1]PhaseI_bioavailable!C39</f>
        <v>0</v>
      </c>
      <c r="H39" s="4">
        <f>[1]PhaseI_bioavailable!D39</f>
        <v>11.820849000000001</v>
      </c>
      <c r="I39" s="4">
        <f>[1]PhaseI_bioavailable!E39</f>
        <v>53778.442118999999</v>
      </c>
      <c r="J39" s="4">
        <f>[1]PhaseI_bioavailable!F39</f>
        <v>8.7317000000000006E-2</v>
      </c>
      <c r="K39" s="4">
        <f>[1]PhaseI_bioavailable!G39</f>
        <v>6.0274000000000001E-2</v>
      </c>
      <c r="L39" s="4">
        <f>[1]PhaseI_bioavailable!H39</f>
        <v>0</v>
      </c>
      <c r="M39" s="4">
        <f>[1]PhaseI_bioavailable!I39</f>
        <v>0.70021599999999995</v>
      </c>
      <c r="N39" s="4">
        <f>[1]PhaseI_bioavailable!J39</f>
        <v>1.5980730000000001</v>
      </c>
      <c r="O39" s="4">
        <f>[1]PhaseI_bioavailable!K39</f>
        <v>389.49233199999998</v>
      </c>
      <c r="P39" s="4">
        <f>[1]PhaseI_bioavailable!L39</f>
        <v>804.96041600000001</v>
      </c>
      <c r="Q39" s="4">
        <f>[1]PhaseI_bioavailable!M39</f>
        <v>84.138846999999998</v>
      </c>
      <c r="R39" s="4">
        <f>[1]PhaseI_bioavailable!N39</f>
        <v>533.57692499999996</v>
      </c>
      <c r="S39" s="4">
        <f>[1]PhaseI_bioavailable!O39</f>
        <v>0.35128199999999998</v>
      </c>
      <c r="T39" s="4">
        <f>[1]PhaseI_bioavailable!P39</f>
        <v>46.371034999999999</v>
      </c>
      <c r="U39" s="4">
        <f>[1]PhaseI_bioavailable!Q39</f>
        <v>0.30671500000000002</v>
      </c>
      <c r="V39" s="4">
        <f>[1]PhaseI_bioavailable!R39</f>
        <v>76.919669999999996</v>
      </c>
      <c r="W39" s="4">
        <f>[1]PhaseI_bioavailable!S39</f>
        <v>54.110613000000001</v>
      </c>
      <c r="X39" s="4">
        <f>[1]PhaseI_bioavailable!T39</f>
        <v>1.1501969999999999</v>
      </c>
      <c r="Y39" s="4">
        <f>[1]PseudoTotal!B39</f>
        <v>7308.2706766917299</v>
      </c>
      <c r="Z39" s="4">
        <f>[1]PseudoTotal!C39</f>
        <v>7.5197368421052602</v>
      </c>
      <c r="AA39" s="4">
        <f>[1]PseudoTotal!D39</f>
        <v>31.8256578947368</v>
      </c>
      <c r="AB39" s="4">
        <f>[1]PseudoTotal!E39</f>
        <v>103601.503759399</v>
      </c>
      <c r="AC39" s="4">
        <f>[1]PseudoTotal!F39</f>
        <v>0.59210526315789502</v>
      </c>
      <c r="AD39" s="4">
        <f>[1]PseudoTotal!G39</f>
        <v>8.9492481203007497</v>
      </c>
      <c r="AE39" s="4">
        <f>[1]PseudoTotal!H39</f>
        <v>23.684210526315798</v>
      </c>
      <c r="AF39" s="4">
        <f>[1]PseudoTotal!I39</f>
        <v>14.1259398496241</v>
      </c>
      <c r="AG39" s="4">
        <f>[1]PseudoTotal!J39</f>
        <v>18025.3759398496</v>
      </c>
      <c r="AH39" s="4">
        <f>[1]PseudoTotal!K39</f>
        <v>12205.827067669199</v>
      </c>
      <c r="AI39" s="4">
        <f>[1]PseudoTotal!L39</f>
        <v>9339.4736842105303</v>
      </c>
      <c r="AJ39" s="4">
        <f>[1]PseudoTotal!M39</f>
        <v>460.99624060150398</v>
      </c>
      <c r="AK39" s="4">
        <f>[1]PseudoTotal!N39</f>
        <v>1990.40413533835</v>
      </c>
      <c r="AL39" s="4">
        <f>[1]PseudoTotal!O39</f>
        <v>29.605263157894701</v>
      </c>
      <c r="AM39" s="4">
        <f>[1]PseudoTotal!P39</f>
        <v>475.54511278195503</v>
      </c>
      <c r="AN39" s="4">
        <f>[1]PseudoTotal!Q39</f>
        <v>3.8571428571428599</v>
      </c>
      <c r="AO39" s="4">
        <f>[1]PseudoTotal!R39</f>
        <v>752.81954887218103</v>
      </c>
      <c r="AP39" s="4">
        <f>[1]PseudoTotal!S39</f>
        <v>193.872180451128</v>
      </c>
      <c r="AQ39" s="4">
        <f>[1]PseudoTotal!T39</f>
        <v>33.338345864661697</v>
      </c>
    </row>
    <row r="40" spans="1:43" x14ac:dyDescent="0.2">
      <c r="A40" s="2" t="s">
        <v>88</v>
      </c>
      <c r="B40" s="3" t="s">
        <v>86</v>
      </c>
      <c r="C40" s="3" t="s">
        <v>45</v>
      </c>
      <c r="D40" s="3" t="s">
        <v>50</v>
      </c>
      <c r="E40" s="3"/>
      <c r="F40" s="4">
        <f>[1]PhaseI_bioavailable!B40</f>
        <v>0.96806700000000001</v>
      </c>
      <c r="G40" s="4">
        <f>[1]PhaseI_bioavailable!C40</f>
        <v>0</v>
      </c>
      <c r="H40" s="4">
        <f>[1]PhaseI_bioavailable!D40</f>
        <v>12.639900000000001</v>
      </c>
      <c r="I40" s="4">
        <f>[1]PhaseI_bioavailable!E40</f>
        <v>61263.616558000002</v>
      </c>
      <c r="J40" s="4">
        <f>[1]PhaseI_bioavailable!F40</f>
        <v>9.0744000000000005E-2</v>
      </c>
      <c r="K40" s="4">
        <f>[1]PhaseI_bioavailable!G40</f>
        <v>3.7386000000000003E-2</v>
      </c>
      <c r="L40" s="4">
        <f>[1]PhaseI_bioavailable!H40</f>
        <v>5.6769E-2</v>
      </c>
      <c r="M40" s="4">
        <f>[1]PhaseI_bioavailable!I40</f>
        <v>0.56159400000000004</v>
      </c>
      <c r="N40" s="4">
        <f>[1]PhaseI_bioavailable!J40</f>
        <v>1.1804539999999999</v>
      </c>
      <c r="O40" s="4">
        <f>[1]PhaseI_bioavailable!K40</f>
        <v>1082.975412</v>
      </c>
      <c r="P40" s="4">
        <f>[1]PhaseI_bioavailable!L40</f>
        <v>914.41020900000001</v>
      </c>
      <c r="Q40" s="4">
        <f>[1]PhaseI_bioavailable!M40</f>
        <v>96.520386000000002</v>
      </c>
      <c r="R40" s="4">
        <f>[1]PhaseI_bioavailable!N40</f>
        <v>704.38842199999999</v>
      </c>
      <c r="S40" s="4">
        <f>[1]PhaseI_bioavailable!O40</f>
        <v>0.68222799999999995</v>
      </c>
      <c r="T40" s="4">
        <f>[1]PhaseI_bioavailable!P40</f>
        <v>47.245564999999999</v>
      </c>
      <c r="U40" s="4">
        <f>[1]PhaseI_bioavailable!Q40</f>
        <v>0.22147500000000001</v>
      </c>
      <c r="V40" s="4">
        <f>[1]PhaseI_bioavailable!R40</f>
        <v>104.400871</v>
      </c>
      <c r="W40" s="4">
        <f>[1]PhaseI_bioavailable!S40</f>
        <v>62.433861999999998</v>
      </c>
      <c r="X40" s="4">
        <f>[1]PhaseI_bioavailable!T40</f>
        <v>1.07812</v>
      </c>
      <c r="Y40" s="4">
        <f>[1]PseudoTotal!B40</f>
        <v>8823.0229591836705</v>
      </c>
      <c r="Z40" s="4">
        <f>[1]PseudoTotal!C40</f>
        <v>5.2490433673469399</v>
      </c>
      <c r="AA40" s="4">
        <f>[1]PseudoTotal!D40</f>
        <v>35.565210459183703</v>
      </c>
      <c r="AB40" s="4">
        <f>[1]PseudoTotal!E40</f>
        <v>97686.543367346894</v>
      </c>
      <c r="AC40" s="4">
        <f>[1]PseudoTotal!F40</f>
        <v>0.57405133928571395</v>
      </c>
      <c r="AD40" s="4">
        <f>[1]PseudoTotal!G40</f>
        <v>8.3628826530612201</v>
      </c>
      <c r="AE40" s="4">
        <f>[1]PseudoTotal!H40</f>
        <v>24.308035714285701</v>
      </c>
      <c r="AF40" s="4">
        <f>[1]PseudoTotal!I40</f>
        <v>13.3163265306122</v>
      </c>
      <c r="AG40" s="4">
        <f>[1]PseudoTotal!J40</f>
        <v>17033.801020408198</v>
      </c>
      <c r="AH40" s="4">
        <f>[1]PseudoTotal!K40</f>
        <v>9224.5695153061206</v>
      </c>
      <c r="AI40" s="4">
        <f>[1]PseudoTotal!L40</f>
        <v>9802.1364795918398</v>
      </c>
      <c r="AJ40" s="4">
        <f>[1]PseudoTotal!M40</f>
        <v>482.93207908163299</v>
      </c>
      <c r="AK40" s="4">
        <f>[1]PseudoTotal!N40</f>
        <v>1858.6176658163299</v>
      </c>
      <c r="AL40" s="4">
        <f>[1]PseudoTotal!O40</f>
        <v>30.899234693877599</v>
      </c>
      <c r="AM40" s="4">
        <f>[1]PseudoTotal!P40</f>
        <v>390.01913265306098</v>
      </c>
      <c r="AN40" s="4">
        <f>[1]PseudoTotal!Q40</f>
        <v>2.70129145408163</v>
      </c>
      <c r="AO40" s="4">
        <f>[1]PseudoTotal!R40</f>
        <v>672.27359693877497</v>
      </c>
      <c r="AP40" s="4">
        <f>[1]PseudoTotal!S40</f>
        <v>175.82908163265299</v>
      </c>
      <c r="AQ40" s="4">
        <f>[1]PseudoTotal!T40</f>
        <v>35.428890306122497</v>
      </c>
    </row>
    <row r="41" spans="1:43" x14ac:dyDescent="0.2">
      <c r="A41" s="2" t="s">
        <v>89</v>
      </c>
      <c r="B41" s="3" t="s">
        <v>86</v>
      </c>
      <c r="C41" s="3" t="s">
        <v>52</v>
      </c>
      <c r="D41" s="3" t="s">
        <v>46</v>
      </c>
      <c r="E41" s="3"/>
      <c r="F41" s="4">
        <f>[1]PhaseI_bioavailable!B41</f>
        <v>1.098276</v>
      </c>
      <c r="G41" s="4">
        <f>[1]PhaseI_bioavailable!C41</f>
        <v>0</v>
      </c>
      <c r="H41" s="4">
        <f>[1]PhaseI_bioavailable!D41</f>
        <v>17.611516000000002</v>
      </c>
      <c r="I41" s="4">
        <f>[1]PhaseI_bioavailable!E41</f>
        <v>59783.188199999997</v>
      </c>
      <c r="J41" s="4">
        <f>[1]PhaseI_bioavailable!F41</f>
        <v>0.10528999999999999</v>
      </c>
      <c r="K41" s="4">
        <f>[1]PhaseI_bioavailable!G41</f>
        <v>1.6358000000000001E-2</v>
      </c>
      <c r="L41" s="4">
        <f>[1]PhaseI_bioavailable!H41</f>
        <v>0</v>
      </c>
      <c r="M41" s="4">
        <f>[1]PhaseI_bioavailable!I41</f>
        <v>0.514069</v>
      </c>
      <c r="N41" s="4">
        <f>[1]PhaseI_bioavailable!J41</f>
        <v>1.3199460000000001</v>
      </c>
      <c r="O41" s="4">
        <f>[1]PhaseI_bioavailable!K41</f>
        <v>843.74148500000001</v>
      </c>
      <c r="P41" s="4">
        <f>[1]PhaseI_bioavailable!L41</f>
        <v>1009.5373499999999</v>
      </c>
      <c r="Q41" s="4">
        <f>[1]PhaseI_bioavailable!M41</f>
        <v>68.692612999999994</v>
      </c>
      <c r="R41" s="4">
        <f>[1]PhaseI_bioavailable!N41</f>
        <v>783.24743799999999</v>
      </c>
      <c r="S41" s="4">
        <f>[1]PhaseI_bioavailable!O41</f>
        <v>0.53385499999999997</v>
      </c>
      <c r="T41" s="4">
        <f>[1]PhaseI_bioavailable!P41</f>
        <v>57.792785000000002</v>
      </c>
      <c r="U41" s="4">
        <f>[1]PhaseI_bioavailable!Q41</f>
        <v>0.32182899999999998</v>
      </c>
      <c r="V41" s="4">
        <f>[1]PhaseI_bioavailable!R41</f>
        <v>140.47746000000001</v>
      </c>
      <c r="W41" s="4">
        <f>[1]PhaseI_bioavailable!S41</f>
        <v>61.832830000000001</v>
      </c>
      <c r="X41" s="4">
        <f>[1]PhaseI_bioavailable!T41</f>
        <v>0.62733300000000003</v>
      </c>
      <c r="Y41" s="4">
        <f>[1]PseudoTotal!B41</f>
        <v>8970.7078925956102</v>
      </c>
      <c r="Z41" s="4">
        <f>[1]PseudoTotal!C41</f>
        <v>6.0048820179007301</v>
      </c>
      <c r="AA41" s="4">
        <f>[1]PseudoTotal!D41</f>
        <v>37.457282343368597</v>
      </c>
      <c r="AB41" s="4">
        <f>[1]PseudoTotal!E41</f>
        <v>109991.86330349901</v>
      </c>
      <c r="AC41" s="4">
        <f>[1]PseudoTotal!F41</f>
        <v>0.52698331977217305</v>
      </c>
      <c r="AD41" s="4">
        <f>[1]PseudoTotal!G41</f>
        <v>8.0296989422294498</v>
      </c>
      <c r="AE41" s="4">
        <f>[1]PseudoTotal!H41</f>
        <v>23.259764035801499</v>
      </c>
      <c r="AF41" s="4">
        <f>[1]PseudoTotal!I41</f>
        <v>13.3553702196908</v>
      </c>
      <c r="AG41" s="4">
        <f>[1]PseudoTotal!J41</f>
        <v>17210.9438567941</v>
      </c>
      <c r="AH41" s="4">
        <f>[1]PseudoTotal!K41</f>
        <v>8452.6037428803902</v>
      </c>
      <c r="AI41" s="4">
        <f>[1]PseudoTotal!L41</f>
        <v>9771.3588283157005</v>
      </c>
      <c r="AJ41" s="4">
        <f>[1]PseudoTotal!M41</f>
        <v>362.06265256305898</v>
      </c>
      <c r="AK41" s="4">
        <f>[1]PseudoTotal!N41</f>
        <v>2290.1851098453999</v>
      </c>
      <c r="AL41" s="4">
        <f>[1]PseudoTotal!O41</f>
        <v>27.928193653376699</v>
      </c>
      <c r="AM41" s="4">
        <f>[1]PseudoTotal!P41</f>
        <v>368.10414971521601</v>
      </c>
      <c r="AN41" s="4">
        <f>[1]PseudoTotal!Q41</f>
        <v>3.7438974776240799</v>
      </c>
      <c r="AO41" s="4">
        <f>[1]PseudoTotal!R41</f>
        <v>668.22620016273402</v>
      </c>
      <c r="AP41" s="4">
        <f>[1]PseudoTotal!S41</f>
        <v>191.55207485760801</v>
      </c>
      <c r="AQ41" s="4">
        <f>[1]PseudoTotal!T41</f>
        <v>33.219080553295399</v>
      </c>
    </row>
    <row r="42" spans="1:43" x14ac:dyDescent="0.2">
      <c r="A42" s="2" t="s">
        <v>90</v>
      </c>
      <c r="B42" s="3" t="s">
        <v>86</v>
      </c>
      <c r="C42" s="3" t="s">
        <v>52</v>
      </c>
      <c r="D42" s="3" t="s">
        <v>48</v>
      </c>
      <c r="E42" s="3"/>
      <c r="F42" s="4">
        <f>[1]PhaseI_bioavailable!B42</f>
        <v>0.64597899999999997</v>
      </c>
      <c r="G42" s="4">
        <f>[1]PhaseI_bioavailable!C42</f>
        <v>0</v>
      </c>
      <c r="H42" s="4">
        <f>[1]PhaseI_bioavailable!D42</f>
        <v>17.275986</v>
      </c>
      <c r="I42" s="4">
        <f>[1]PhaseI_bioavailable!E42</f>
        <v>56328.405017999998</v>
      </c>
      <c r="J42" s="4">
        <f>[1]PhaseI_bioavailable!F42</f>
        <v>8.5808999999999996E-2</v>
      </c>
      <c r="K42" s="4">
        <f>[1]PhaseI_bioavailable!G42</f>
        <v>1.4862E-2</v>
      </c>
      <c r="L42" s="4">
        <f>[1]PhaseI_bioavailable!H42</f>
        <v>1.3269E-2</v>
      </c>
      <c r="M42" s="4">
        <f>[1]PhaseI_bioavailable!I42</f>
        <v>0.35580200000000001</v>
      </c>
      <c r="N42" s="4">
        <f>[1]PhaseI_bioavailable!J42</f>
        <v>0.84218199999999999</v>
      </c>
      <c r="O42" s="4">
        <f>[1]PhaseI_bioavailable!K42</f>
        <v>1072.3566310000001</v>
      </c>
      <c r="P42" s="4">
        <f>[1]PhaseI_bioavailable!L42</f>
        <v>962.589606</v>
      </c>
      <c r="Q42" s="4">
        <f>[1]PhaseI_bioavailable!M42</f>
        <v>61.424731000000001</v>
      </c>
      <c r="R42" s="4">
        <f>[1]PhaseI_bioavailable!N42</f>
        <v>643.81720399999995</v>
      </c>
      <c r="S42" s="4">
        <f>[1]PhaseI_bioavailable!O42</f>
        <v>0.267148</v>
      </c>
      <c r="T42" s="4">
        <f>[1]PhaseI_bioavailable!P42</f>
        <v>54.289875000000002</v>
      </c>
      <c r="U42" s="4">
        <f>[1]PhaseI_bioavailable!Q42</f>
        <v>0.25962099999999999</v>
      </c>
      <c r="V42" s="4">
        <f>[1]PhaseI_bioavailable!R42</f>
        <v>116.588262</v>
      </c>
      <c r="W42" s="4">
        <f>[1]PhaseI_bioavailable!S42</f>
        <v>59.184587999999998</v>
      </c>
      <c r="X42" s="4">
        <f>[1]PhaseI_bioavailable!T42</f>
        <v>0.19531799999999999</v>
      </c>
      <c r="Y42" s="4">
        <f>[1]PseudoTotal!B42</f>
        <v>8535.4353911890394</v>
      </c>
      <c r="Z42" s="4">
        <f>[1]PseudoTotal!C42</f>
        <v>7.2137910711654598</v>
      </c>
      <c r="AA42" s="4">
        <f>[1]PseudoTotal!D42</f>
        <v>37.325843524384901</v>
      </c>
      <c r="AB42" s="4">
        <f>[1]PseudoTotal!E42</f>
        <v>108886.474141742</v>
      </c>
      <c r="AC42" s="4">
        <f>[1]PseudoTotal!F42</f>
        <v>0.53782967437748597</v>
      </c>
      <c r="AD42" s="4">
        <f>[1]PseudoTotal!G42</f>
        <v>8.98574480624724</v>
      </c>
      <c r="AE42" s="4">
        <f>[1]PseudoTotal!H42</f>
        <v>21.581700309415101</v>
      </c>
      <c r="AF42" s="4">
        <f>[1]PseudoTotal!I42</f>
        <v>12.8959776042434</v>
      </c>
      <c r="AG42" s="4">
        <f>[1]PseudoTotal!J42</f>
        <v>16962.575512008301</v>
      </c>
      <c r="AH42" s="4">
        <f>[1]PseudoTotal!K42</f>
        <v>10873.7291881538</v>
      </c>
      <c r="AI42" s="4">
        <f>[1]PseudoTotal!L42</f>
        <v>10157.6543391778</v>
      </c>
      <c r="AJ42" s="4">
        <f>[1]PseudoTotal!M42</f>
        <v>388.81317224104902</v>
      </c>
      <c r="AK42" s="4">
        <f>[1]PseudoTotal!N42</f>
        <v>2182.78510387506</v>
      </c>
      <c r="AL42" s="4">
        <f>[1]PseudoTotal!O42</f>
        <v>31.0906880801532</v>
      </c>
      <c r="AM42" s="4">
        <f>[1]PseudoTotal!P42</f>
        <v>390.249742154118</v>
      </c>
      <c r="AN42" s="4">
        <f>[1]PseudoTotal!Q42</f>
        <v>2.95049359068808</v>
      </c>
      <c r="AO42" s="4">
        <f>[1]PseudoTotal!R42</f>
        <v>724.36275232061303</v>
      </c>
      <c r="AP42" s="4">
        <f>[1]PseudoTotal!S42</f>
        <v>188.57742743480199</v>
      </c>
      <c r="AQ42" s="4">
        <f>[1]PseudoTotal!T42</f>
        <v>38.505598939148399</v>
      </c>
    </row>
    <row r="43" spans="1:43" x14ac:dyDescent="0.2">
      <c r="A43" s="2" t="s">
        <v>91</v>
      </c>
      <c r="B43" s="3" t="s">
        <v>86</v>
      </c>
      <c r="C43" s="3" t="s">
        <v>52</v>
      </c>
      <c r="D43" s="3" t="s">
        <v>50</v>
      </c>
      <c r="E43" s="3"/>
      <c r="F43" s="4">
        <f>[1]PhaseI_bioavailable!B43</f>
        <v>0.21765200000000001</v>
      </c>
      <c r="G43" s="4">
        <f>[1]PhaseI_bioavailable!C43</f>
        <v>0</v>
      </c>
      <c r="H43" s="4">
        <f>[1]PhaseI_bioavailable!D43</f>
        <v>17.219101999999999</v>
      </c>
      <c r="I43" s="4">
        <f>[1]PhaseI_bioavailable!E43</f>
        <v>58791.714956000003</v>
      </c>
      <c r="J43" s="4">
        <f>[1]PhaseI_bioavailable!F43</f>
        <v>7.7989000000000003E-2</v>
      </c>
      <c r="K43" s="4">
        <f>[1]PhaseI_bioavailable!G43</f>
        <v>4.6202E-2</v>
      </c>
      <c r="L43" s="4">
        <f>[1]PhaseI_bioavailable!H43</f>
        <v>5.5202000000000001E-2</v>
      </c>
      <c r="M43" s="4">
        <f>[1]PhaseI_bioavailable!I43</f>
        <v>0.45300299999999999</v>
      </c>
      <c r="N43" s="4">
        <f>[1]PhaseI_bioavailable!J43</f>
        <v>2.6995930000000001</v>
      </c>
      <c r="O43" s="4">
        <f>[1]PhaseI_bioavailable!K43</f>
        <v>788.80271000000005</v>
      </c>
      <c r="P43" s="4">
        <f>[1]PhaseI_bioavailable!L43</f>
        <v>968.17330800000002</v>
      </c>
      <c r="Q43" s="4">
        <f>[1]PhaseI_bioavailable!M43</f>
        <v>70.999375999999998</v>
      </c>
      <c r="R43" s="4">
        <f>[1]PhaseI_bioavailable!N43</f>
        <v>604.55855699999995</v>
      </c>
      <c r="S43" s="4">
        <f>[1]PhaseI_bioavailable!O43</f>
        <v>0.811863</v>
      </c>
      <c r="T43" s="4">
        <f>[1]PhaseI_bioavailable!P43</f>
        <v>57.828890999999999</v>
      </c>
      <c r="U43" s="4">
        <f>[1]PhaseI_bioavailable!Q43</f>
        <v>0.34737699999999999</v>
      </c>
      <c r="V43" s="4">
        <f>[1]PhaseI_bioavailable!R43</f>
        <v>118.534367</v>
      </c>
      <c r="W43" s="4">
        <f>[1]PhaseI_bioavailable!S43</f>
        <v>60.943210999999998</v>
      </c>
      <c r="X43" s="4">
        <f>[1]PhaseI_bioavailable!T43</f>
        <v>0.98766799999999999</v>
      </c>
      <c r="Y43" s="4">
        <f>[1]PseudoTotal!B43</f>
        <v>8616.6168442942508</v>
      </c>
      <c r="Z43" s="4">
        <f>[1]PseudoTotal!C43</f>
        <v>7.6954445022095097</v>
      </c>
      <c r="AA43" s="4">
        <f>[1]PseudoTotal!D43</f>
        <v>33.560282362880201</v>
      </c>
      <c r="AB43" s="4">
        <f>[1]PseudoTotal!E43</f>
        <v>100008.123212893</v>
      </c>
      <c r="AC43" s="4">
        <f>[1]PseudoTotal!F43</f>
        <v>0.58740577073043898</v>
      </c>
      <c r="AD43" s="4">
        <f>[1]PseudoTotal!G43</f>
        <v>9.2575383415648602</v>
      </c>
      <c r="AE43" s="4">
        <f>[1]PseudoTotal!H43</f>
        <v>22.554100597868501</v>
      </c>
      <c r="AF43" s="4">
        <f>[1]PseudoTotal!I43</f>
        <v>14.855731739017401</v>
      </c>
      <c r="AG43" s="4">
        <f>[1]PseudoTotal!J43</f>
        <v>17112.360280738201</v>
      </c>
      <c r="AH43" s="4">
        <f>[1]PseudoTotal!K43</f>
        <v>8955.1111255523792</v>
      </c>
      <c r="AI43" s="4">
        <f>[1]PseudoTotal!L43</f>
        <v>11202.2355081882</v>
      </c>
      <c r="AJ43" s="4">
        <f>[1]PseudoTotal!M43</f>
        <v>386.16129451520698</v>
      </c>
      <c r="AK43" s="4">
        <f>[1]PseudoTotal!N43</f>
        <v>1884.23609305953</v>
      </c>
      <c r="AL43" s="4">
        <f>[1]PseudoTotal!O43</f>
        <v>29.864992201715602</v>
      </c>
      <c r="AM43" s="4">
        <f>[1]PseudoTotal!P43</f>
        <v>390.49909020015599</v>
      </c>
      <c r="AN43" s="4">
        <f>[1]PseudoTotal!Q43</f>
        <v>2.5588120613465</v>
      </c>
      <c r="AO43" s="4">
        <f>[1]PseudoTotal!R43</f>
        <v>628.73667793085497</v>
      </c>
      <c r="AP43" s="4">
        <f>[1]PseudoTotal!S43</f>
        <v>181.31011177540901</v>
      </c>
      <c r="AQ43" s="4">
        <f>[1]PseudoTotal!T43</f>
        <v>35.509000519885603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9BFB-FA38-425F-8A96-60AA2605109A}">
  <dimension ref="A1:AQ14"/>
  <sheetViews>
    <sheetView tabSelected="1" workbookViewId="0">
      <selection activeCell="F34" sqref="F34"/>
    </sheetView>
  </sheetViews>
  <sheetFormatPr baseColWidth="10" defaultColWidth="8.83203125" defaultRowHeight="15" x14ac:dyDescent="0.2"/>
  <cols>
    <col min="1" max="1" width="12.83203125" customWidth="1"/>
  </cols>
  <sheetData>
    <row r="1" spans="1:43" x14ac:dyDescent="0.2">
      <c r="A1" s="2" t="s">
        <v>47</v>
      </c>
      <c r="B1" s="3" t="s">
        <v>44</v>
      </c>
      <c r="C1" s="3" t="s">
        <v>45</v>
      </c>
      <c r="D1" s="3" t="s">
        <v>48</v>
      </c>
      <c r="E1" s="3"/>
      <c r="F1" s="4">
        <v>6.1625019999999999</v>
      </c>
      <c r="G1" s="4">
        <v>11.702797</v>
      </c>
      <c r="H1" s="4">
        <v>0</v>
      </c>
      <c r="I1" s="4">
        <v>64945.667162999998</v>
      </c>
      <c r="J1" s="4">
        <v>1.144906</v>
      </c>
      <c r="K1" s="4">
        <v>0</v>
      </c>
      <c r="L1" s="4">
        <v>0</v>
      </c>
      <c r="M1" s="4">
        <v>0.47106799999999999</v>
      </c>
      <c r="N1" s="4">
        <v>4.9302219999999997</v>
      </c>
      <c r="O1" s="4">
        <v>746.31805399999996</v>
      </c>
      <c r="P1" s="4">
        <v>1170.7209439999999</v>
      </c>
      <c r="Q1" s="4">
        <v>38.810744999999997</v>
      </c>
      <c r="R1" s="4">
        <v>523.47068200000001</v>
      </c>
      <c r="S1" s="4">
        <v>0.36052699999999999</v>
      </c>
      <c r="T1" s="4">
        <v>5.3174469999999996</v>
      </c>
      <c r="U1" s="4">
        <v>0.23280899999999999</v>
      </c>
      <c r="V1" s="4">
        <v>1404.0487619999999</v>
      </c>
      <c r="W1" s="4">
        <v>829.94097899999997</v>
      </c>
      <c r="X1" s="4">
        <v>0.38568000000000002</v>
      </c>
      <c r="Y1" s="4">
        <v>9792.4885592551691</v>
      </c>
      <c r="Z1" s="4">
        <v>124.980274577876</v>
      </c>
      <c r="AA1" s="4">
        <v>64.087896480984696</v>
      </c>
      <c r="AB1" s="4">
        <v>194133.65946031301</v>
      </c>
      <c r="AC1" s="4">
        <v>1.99009783809374</v>
      </c>
      <c r="AD1" s="4">
        <v>4.5222502761559102</v>
      </c>
      <c r="AE1" s="4">
        <v>7.2260138866971699</v>
      </c>
      <c r="AF1" s="4">
        <v>4.6024341170901097</v>
      </c>
      <c r="AG1" s="4">
        <v>7800.6154331702701</v>
      </c>
      <c r="AH1" s="4">
        <v>7601.7831781600098</v>
      </c>
      <c r="AI1" s="4">
        <v>4853.6373678396703</v>
      </c>
      <c r="AJ1" s="4">
        <v>3240.4923465362199</v>
      </c>
      <c r="AK1" s="4">
        <v>2696.30740097838</v>
      </c>
      <c r="AL1" s="4">
        <v>8.8604623638945892</v>
      </c>
      <c r="AM1" s="4">
        <v>227.556414707275</v>
      </c>
      <c r="AN1" s="4">
        <v>27.044737257377299</v>
      </c>
      <c r="AO1" s="4">
        <v>6986.4683604229103</v>
      </c>
      <c r="AP1" s="4">
        <v>2299.1163010888399</v>
      </c>
      <c r="AQ1" s="4">
        <v>28.069078428278399</v>
      </c>
    </row>
    <row r="2" spans="1:43" x14ac:dyDescent="0.2">
      <c r="A2" s="2" t="s">
        <v>53</v>
      </c>
      <c r="B2" s="3" t="s">
        <v>44</v>
      </c>
      <c r="C2" s="3" t="s">
        <v>52</v>
      </c>
      <c r="D2" s="3" t="s">
        <v>48</v>
      </c>
      <c r="E2" s="3"/>
      <c r="F2" s="4">
        <v>6.3151460000000004</v>
      </c>
      <c r="G2" s="4">
        <v>10.800345999999999</v>
      </c>
      <c r="H2" s="4">
        <v>0</v>
      </c>
      <c r="I2" s="4">
        <v>59636.252483999997</v>
      </c>
      <c r="J2" s="4">
        <v>1.0670949999999999</v>
      </c>
      <c r="K2" s="4">
        <v>0</v>
      </c>
      <c r="L2" s="4">
        <v>0</v>
      </c>
      <c r="M2" s="4">
        <v>0.488257</v>
      </c>
      <c r="N2" s="4">
        <v>4.9172140000000004</v>
      </c>
      <c r="O2" s="4">
        <v>490.97763500000002</v>
      </c>
      <c r="P2" s="4">
        <v>1097.050283</v>
      </c>
      <c r="Q2" s="4">
        <v>52.687350000000002</v>
      </c>
      <c r="R2" s="4">
        <v>477.55871400000001</v>
      </c>
      <c r="S2" s="4">
        <v>0.24479100000000001</v>
      </c>
      <c r="T2" s="4">
        <v>3.5712470000000001</v>
      </c>
      <c r="U2" s="4">
        <v>0.350298</v>
      </c>
      <c r="V2" s="4">
        <v>1280.044832</v>
      </c>
      <c r="W2" s="4">
        <v>798.30862500000001</v>
      </c>
      <c r="X2" s="4">
        <v>0.54358300000000004</v>
      </c>
      <c r="Y2" s="4">
        <v>11048.4477571116</v>
      </c>
      <c r="Z2" s="4">
        <v>96.468134573304198</v>
      </c>
      <c r="AA2" s="4">
        <v>63.050464989059101</v>
      </c>
      <c r="AB2" s="4">
        <v>164144.55689277899</v>
      </c>
      <c r="AC2" s="4">
        <v>1.92720869803063</v>
      </c>
      <c r="AD2" s="4">
        <v>5.33267231947484</v>
      </c>
      <c r="AE2" s="4">
        <v>10.430456783369801</v>
      </c>
      <c r="AF2" s="4">
        <v>10.718681619255999</v>
      </c>
      <c r="AG2" s="4">
        <v>9800.67013129103</v>
      </c>
      <c r="AH2" s="4">
        <v>8954.4584245076603</v>
      </c>
      <c r="AI2" s="4">
        <v>5501.9146608315104</v>
      </c>
      <c r="AJ2" s="4">
        <v>3799.2341356674001</v>
      </c>
      <c r="AK2" s="4">
        <v>1708.4245076586401</v>
      </c>
      <c r="AL2" s="4">
        <v>9.4283369803063408</v>
      </c>
      <c r="AM2" s="4">
        <v>267.64394146608299</v>
      </c>
      <c r="AN2" s="4">
        <v>21.672251094091902</v>
      </c>
      <c r="AO2" s="4">
        <v>5351.1351203501099</v>
      </c>
      <c r="AP2" s="4">
        <v>2175.1230853391698</v>
      </c>
      <c r="AQ2" s="4">
        <v>26.879786652078799</v>
      </c>
    </row>
    <row r="3" spans="1:43" x14ac:dyDescent="0.2">
      <c r="A3" s="2" t="s">
        <v>98</v>
      </c>
      <c r="B3" s="3" t="s">
        <v>56</v>
      </c>
      <c r="C3" s="3" t="s">
        <v>45</v>
      </c>
      <c r="D3" s="3" t="s">
        <v>50</v>
      </c>
      <c r="E3" s="3" t="s">
        <v>57</v>
      </c>
      <c r="F3" s="4">
        <v>30.373052000000001</v>
      </c>
      <c r="G3" s="4">
        <v>0.336866</v>
      </c>
      <c r="H3" s="4">
        <v>26.092824</v>
      </c>
      <c r="I3" s="4">
        <v>1778.3629579999999</v>
      </c>
      <c r="J3" s="4">
        <v>6.2650999999999998E-2</v>
      </c>
      <c r="K3" s="4">
        <v>6.0331000000000003E-2</v>
      </c>
      <c r="L3" s="4">
        <v>0.14061899999999999</v>
      </c>
      <c r="M3" s="4">
        <v>0.48946699999999999</v>
      </c>
      <c r="N3" s="4">
        <v>7.6376999999999997</v>
      </c>
      <c r="O3" s="4">
        <v>686.52622299999996</v>
      </c>
      <c r="P3" s="4">
        <v>356.04564399999998</v>
      </c>
      <c r="Q3" s="4">
        <v>18.553872999999999</v>
      </c>
      <c r="R3" s="4">
        <v>307.54882600000002</v>
      </c>
      <c r="S3" s="4">
        <v>0.38698700000000003</v>
      </c>
      <c r="T3" s="4">
        <v>363.06780800000001</v>
      </c>
      <c r="U3" s="4">
        <v>8.4762000000000004E-2</v>
      </c>
      <c r="V3" s="4">
        <v>43.877550999999997</v>
      </c>
      <c r="W3" s="4">
        <v>17.850560000000002</v>
      </c>
      <c r="X3" s="4">
        <v>1.1180600000000001</v>
      </c>
      <c r="Y3" s="4">
        <v>8765.4759912999798</v>
      </c>
      <c r="Z3" s="4">
        <v>17.921511627907002</v>
      </c>
      <c r="AA3" s="4">
        <v>222.97975573029899</v>
      </c>
      <c r="AB3" s="4">
        <v>5418.2700351346803</v>
      </c>
      <c r="AC3" s="4">
        <v>0.55873556968378801</v>
      </c>
      <c r="AD3" s="4">
        <v>9.7919106575204999</v>
      </c>
      <c r="AE3" s="4">
        <v>11.120127154090699</v>
      </c>
      <c r="AF3" s="4">
        <v>17.266187050359701</v>
      </c>
      <c r="AG3" s="4">
        <v>22831.269867826701</v>
      </c>
      <c r="AH3" s="4">
        <v>10502.7605822319</v>
      </c>
      <c r="AI3" s="4">
        <v>3091.8520997155802</v>
      </c>
      <c r="AJ3" s="4">
        <v>513.46829513133696</v>
      </c>
      <c r="AK3" s="4">
        <v>1807.9617701187899</v>
      </c>
      <c r="AL3" s="4">
        <v>10.2091350175673</v>
      </c>
      <c r="AM3" s="4">
        <v>1147.1473983603801</v>
      </c>
      <c r="AN3" s="4">
        <v>8.6017232725447599</v>
      </c>
      <c r="AO3" s="4">
        <v>1258.57453572026</v>
      </c>
      <c r="AP3" s="4">
        <v>70.338380458423899</v>
      </c>
      <c r="AQ3" s="4">
        <v>43.592103061736701</v>
      </c>
    </row>
    <row r="4" spans="1:43" x14ac:dyDescent="0.2">
      <c r="A4" s="2" t="s">
        <v>99</v>
      </c>
      <c r="B4" s="3" t="s">
        <v>56</v>
      </c>
      <c r="C4" s="3" t="s">
        <v>45</v>
      </c>
      <c r="D4" s="3" t="s">
        <v>48</v>
      </c>
      <c r="E4" s="3" t="s">
        <v>61</v>
      </c>
      <c r="F4" s="4">
        <v>12.273516000000001</v>
      </c>
      <c r="G4" s="4">
        <v>1.7170999999999999E-2</v>
      </c>
      <c r="H4" s="4">
        <v>29.945620999999999</v>
      </c>
      <c r="I4" s="4">
        <v>5020.2475990000003</v>
      </c>
      <c r="J4" s="4">
        <v>4.8780999999999998E-2</v>
      </c>
      <c r="K4" s="4">
        <v>5.2589999999999998E-3</v>
      </c>
      <c r="L4" s="4">
        <v>0</v>
      </c>
      <c r="M4" s="4">
        <v>0.44452199999999997</v>
      </c>
      <c r="N4" s="4">
        <v>5.8139529999999997</v>
      </c>
      <c r="O4" s="4">
        <v>630.20941800000003</v>
      </c>
      <c r="P4" s="4">
        <v>605.57676700000002</v>
      </c>
      <c r="Q4" s="4">
        <v>30.149253999999999</v>
      </c>
      <c r="R4" s="4">
        <v>395.117436</v>
      </c>
      <c r="S4" s="4">
        <v>0.48050399999999999</v>
      </c>
      <c r="T4" s="4">
        <v>268.957538</v>
      </c>
      <c r="U4" s="4">
        <v>0.12600900000000001</v>
      </c>
      <c r="V4" s="4">
        <v>50.688417999999999</v>
      </c>
      <c r="W4" s="4">
        <v>25.749161000000001</v>
      </c>
      <c r="X4" s="4">
        <v>2.4666199999999998</v>
      </c>
      <c r="Y4" s="4">
        <v>8874.2616197730495</v>
      </c>
      <c r="Z4" s="4">
        <v>8.6827685372299097</v>
      </c>
      <c r="AA4" s="4">
        <v>152.605704958806</v>
      </c>
      <c r="AB4" s="4">
        <v>10081.804756723201</v>
      </c>
      <c r="AC4" s="4">
        <v>0.53740478781283996</v>
      </c>
      <c r="AD4" s="4">
        <v>10.0439141924452</v>
      </c>
      <c r="AE4" s="4">
        <v>14.8064666563034</v>
      </c>
      <c r="AF4" s="4">
        <v>15.4127156847505</v>
      </c>
      <c r="AG4" s="4">
        <v>17732.7840820768</v>
      </c>
      <c r="AH4" s="4">
        <v>10874.009016011199</v>
      </c>
      <c r="AI4" s="4">
        <v>2605.70495880616</v>
      </c>
      <c r="AJ4" s="4">
        <v>578.38489040882905</v>
      </c>
      <c r="AK4" s="4">
        <v>2318.0281361728598</v>
      </c>
      <c r="AL4" s="4">
        <v>10.9299704647909</v>
      </c>
      <c r="AM4" s="4">
        <v>1024.0945126690499</v>
      </c>
      <c r="AN4" s="4">
        <v>8.6040727498834109</v>
      </c>
      <c r="AO4" s="4">
        <v>1202.00528524794</v>
      </c>
      <c r="AP4" s="4">
        <v>65.372882014612202</v>
      </c>
      <c r="AQ4" s="4">
        <v>42.9678998911861</v>
      </c>
    </row>
    <row r="5" spans="1:43" x14ac:dyDescent="0.2">
      <c r="A5" s="5" t="s">
        <v>100</v>
      </c>
      <c r="B5" s="3" t="s">
        <v>56</v>
      </c>
      <c r="C5" s="3" t="s">
        <v>52</v>
      </c>
      <c r="D5" s="3" t="s">
        <v>46</v>
      </c>
      <c r="E5" s="3" t="s">
        <v>57</v>
      </c>
      <c r="F5" s="4">
        <v>31.746963000000001</v>
      </c>
      <c r="G5" s="4">
        <v>0.18241499999999999</v>
      </c>
      <c r="H5" s="4">
        <v>25.766175</v>
      </c>
      <c r="I5" s="4">
        <v>1580.406248</v>
      </c>
      <c r="J5" s="4">
        <v>5.5291E-2</v>
      </c>
      <c r="K5" s="4">
        <v>7.4180999999999997E-2</v>
      </c>
      <c r="L5" s="4">
        <v>0</v>
      </c>
      <c r="M5" s="4">
        <v>0.751583</v>
      </c>
      <c r="N5" s="4">
        <v>8.1484199999999998</v>
      </c>
      <c r="O5" s="4">
        <v>437.148933</v>
      </c>
      <c r="P5" s="4">
        <v>393.24387100000001</v>
      </c>
      <c r="Q5" s="4">
        <v>19.834274000000001</v>
      </c>
      <c r="R5" s="4">
        <v>406.345482</v>
      </c>
      <c r="S5" s="4">
        <v>0.56757400000000002</v>
      </c>
      <c r="T5" s="4">
        <v>288.11811</v>
      </c>
      <c r="U5" s="4">
        <v>0.149701</v>
      </c>
      <c r="V5" s="4">
        <v>47.977316999999999</v>
      </c>
      <c r="W5" s="4">
        <v>18.806189</v>
      </c>
      <c r="X5" s="4">
        <v>1.127227</v>
      </c>
      <c r="Y5" s="4">
        <v>7189.6979726934196</v>
      </c>
      <c r="Z5" s="4">
        <v>16.197765825403401</v>
      </c>
      <c r="AA5" s="4">
        <v>212.143152668597</v>
      </c>
      <c r="AB5" s="4">
        <v>4872.5175837815495</v>
      </c>
      <c r="AC5" s="4">
        <v>0.46788374017376899</v>
      </c>
      <c r="AD5" s="4">
        <v>10.887980968142299</v>
      </c>
      <c r="AE5" s="4">
        <v>13.632602399669</v>
      </c>
      <c r="AF5" s="4">
        <v>16.725279271824601</v>
      </c>
      <c r="AG5" s="4">
        <v>19471.969383533298</v>
      </c>
      <c r="AH5" s="4">
        <v>9745.0351675630991</v>
      </c>
      <c r="AI5" s="4">
        <v>3201.5411667356202</v>
      </c>
      <c r="AJ5" s="4">
        <v>454.23045097227998</v>
      </c>
      <c r="AK5" s="4">
        <v>1967.50879189077</v>
      </c>
      <c r="AL5" s="4">
        <v>13.3166115018618</v>
      </c>
      <c r="AM5" s="4">
        <v>1036.92594124948</v>
      </c>
      <c r="AN5" s="4">
        <v>8.5333057509309107</v>
      </c>
      <c r="AO5" s="4">
        <v>1124.3276789408401</v>
      </c>
      <c r="AP5" s="4">
        <v>56.363777410012403</v>
      </c>
      <c r="AQ5" s="4">
        <v>39.8065784029789</v>
      </c>
    </row>
    <row r="6" spans="1:43" x14ac:dyDescent="0.2">
      <c r="A6" s="5" t="s">
        <v>101</v>
      </c>
      <c r="B6" s="3" t="s">
        <v>56</v>
      </c>
      <c r="C6" s="3" t="s">
        <v>52</v>
      </c>
      <c r="D6" s="3" t="s">
        <v>50</v>
      </c>
      <c r="E6" s="3" t="s">
        <v>61</v>
      </c>
      <c r="F6" s="4">
        <v>17.952893</v>
      </c>
      <c r="G6" s="4">
        <v>0.14426900000000001</v>
      </c>
      <c r="H6" s="4">
        <v>26.101161000000001</v>
      </c>
      <c r="I6" s="4">
        <v>2757.6250949999999</v>
      </c>
      <c r="J6" s="4">
        <v>5.7668999999999998E-2</v>
      </c>
      <c r="K6" s="4">
        <v>7.7890000000000001E-2</v>
      </c>
      <c r="L6" s="4">
        <v>0</v>
      </c>
      <c r="M6" s="4">
        <v>0.53424499999999997</v>
      </c>
      <c r="N6" s="4">
        <v>7.300554</v>
      </c>
      <c r="O6" s="4">
        <v>733.96287900000004</v>
      </c>
      <c r="P6" s="4">
        <v>610.11613999999997</v>
      </c>
      <c r="Q6" s="4">
        <v>51.991751000000001</v>
      </c>
      <c r="R6" s="4">
        <v>323.868447</v>
      </c>
      <c r="S6" s="4">
        <v>0.32233800000000001</v>
      </c>
      <c r="T6" s="4">
        <v>554.75957900000003</v>
      </c>
      <c r="U6" s="4">
        <v>0.21260200000000001</v>
      </c>
      <c r="V6" s="4">
        <v>45.728861000000002</v>
      </c>
      <c r="W6" s="4">
        <v>18.076630999999999</v>
      </c>
      <c r="X6" s="4">
        <v>3.698035</v>
      </c>
      <c r="Y6" s="4">
        <v>8375.2726706139001</v>
      </c>
      <c r="Z6" s="4">
        <v>12.3104939233406</v>
      </c>
      <c r="AA6" s="4">
        <v>177.39171081333799</v>
      </c>
      <c r="AB6" s="4">
        <v>7118.4559052664399</v>
      </c>
      <c r="AC6" s="4">
        <v>0.43681832346525401</v>
      </c>
      <c r="AD6" s="4">
        <v>9.7991975693362399</v>
      </c>
      <c r="AE6" s="4">
        <v>14.741741975693399</v>
      </c>
      <c r="AF6" s="4">
        <v>15.0397320037395</v>
      </c>
      <c r="AG6" s="4">
        <v>17271.151449049601</v>
      </c>
      <c r="AH6" s="4">
        <v>13762.3188688065</v>
      </c>
      <c r="AI6" s="4">
        <v>3284.901838579</v>
      </c>
      <c r="AJ6" s="4">
        <v>630.16126519164902</v>
      </c>
      <c r="AK6" s="4">
        <v>1804.6801963228399</v>
      </c>
      <c r="AL6" s="4">
        <v>16.845200997195398</v>
      </c>
      <c r="AM6" s="4">
        <v>1601.2581801184199</v>
      </c>
      <c r="AN6" s="4">
        <v>8.2814934559052702</v>
      </c>
      <c r="AO6" s="4">
        <v>1093.2143970084101</v>
      </c>
      <c r="AP6" s="4">
        <v>68.143307884075995</v>
      </c>
      <c r="AQ6" s="4">
        <v>45.189311311935199</v>
      </c>
    </row>
    <row r="7" spans="1:43" x14ac:dyDescent="0.2">
      <c r="A7" s="2" t="s">
        <v>66</v>
      </c>
      <c r="B7" s="3" t="s">
        <v>65</v>
      </c>
      <c r="C7" s="3" t="s">
        <v>45</v>
      </c>
      <c r="D7" s="3" t="s">
        <v>48</v>
      </c>
      <c r="E7" s="3"/>
      <c r="F7" s="4">
        <v>32.02713</v>
      </c>
      <c r="G7" s="4">
        <v>4.4670529999999999</v>
      </c>
      <c r="H7" s="4">
        <v>5.9241070000000002</v>
      </c>
      <c r="I7" s="4">
        <v>4507.9810559999996</v>
      </c>
      <c r="J7" s="4">
        <v>4.8646440000000002</v>
      </c>
      <c r="K7" s="4">
        <v>1.958604</v>
      </c>
      <c r="L7" s="4">
        <v>0</v>
      </c>
      <c r="M7" s="4">
        <v>3371.6891770000002</v>
      </c>
      <c r="N7" s="4">
        <v>1.3352040000000001</v>
      </c>
      <c r="O7" s="4">
        <v>0</v>
      </c>
      <c r="P7" s="4">
        <v>1274.6301820000001</v>
      </c>
      <c r="Q7" s="4">
        <v>131.74296899999999</v>
      </c>
      <c r="R7" s="4">
        <v>456.64503300000001</v>
      </c>
      <c r="S7" s="4">
        <v>5.1897330000000004</v>
      </c>
      <c r="T7" s="4">
        <v>0</v>
      </c>
      <c r="U7" s="4">
        <v>28.290942999999999</v>
      </c>
      <c r="V7" s="4">
        <v>234.450096</v>
      </c>
      <c r="W7" s="4">
        <v>8.3540899999999993</v>
      </c>
      <c r="X7" s="4">
        <v>489.97251899999998</v>
      </c>
      <c r="Y7" s="4">
        <v>4708.1594732038102</v>
      </c>
      <c r="Z7" s="4">
        <v>1868.8877298213599</v>
      </c>
      <c r="AA7" s="4">
        <v>42.123321163124302</v>
      </c>
      <c r="AB7" s="4">
        <v>6490.2529664884596</v>
      </c>
      <c r="AC7" s="4">
        <v>13.770211240057399</v>
      </c>
      <c r="AD7" s="4">
        <v>28.788792541400401</v>
      </c>
      <c r="AE7" s="4">
        <v>22.700971443473701</v>
      </c>
      <c r="AF7" s="4">
        <v>6426.6853566305899</v>
      </c>
      <c r="AG7" s="4">
        <v>53264.767244751602</v>
      </c>
      <c r="AH7" s="4">
        <v>11258.8016690572</v>
      </c>
      <c r="AI7" s="4">
        <v>1853.72929977833</v>
      </c>
      <c r="AJ7" s="4">
        <v>1162.16260268614</v>
      </c>
      <c r="AK7" s="4">
        <v>1653.8336158560401</v>
      </c>
      <c r="AL7" s="4">
        <v>69.5698591732951</v>
      </c>
      <c r="AM7" s="4">
        <v>817.968444386491</v>
      </c>
      <c r="AN7" s="4">
        <v>1821.9454948493899</v>
      </c>
      <c r="AO7" s="4">
        <v>2021.44999348025</v>
      </c>
      <c r="AP7" s="4">
        <v>24.5419872212805</v>
      </c>
      <c r="AQ7" s="4">
        <v>2251.76033381145</v>
      </c>
    </row>
    <row r="8" spans="1:43" x14ac:dyDescent="0.2">
      <c r="A8" s="2" t="s">
        <v>68</v>
      </c>
      <c r="B8" s="3" t="s">
        <v>65</v>
      </c>
      <c r="C8" s="3" t="s">
        <v>52</v>
      </c>
      <c r="D8" s="3" t="s">
        <v>46</v>
      </c>
      <c r="E8" s="3"/>
      <c r="F8" s="4">
        <v>22.993034999999999</v>
      </c>
      <c r="G8" s="4">
        <v>1.074336</v>
      </c>
      <c r="H8" s="4">
        <v>9.6883029999999994</v>
      </c>
      <c r="I8" s="4">
        <v>12517.676968</v>
      </c>
      <c r="J8" s="4">
        <v>8.9595079999999996</v>
      </c>
      <c r="K8" s="4">
        <v>2.5842540000000001</v>
      </c>
      <c r="L8" s="4">
        <v>0</v>
      </c>
      <c r="M8" s="4">
        <v>1647.3080689999999</v>
      </c>
      <c r="N8" s="4">
        <v>2.1036519999999999</v>
      </c>
      <c r="O8" s="4">
        <v>598.79240500000003</v>
      </c>
      <c r="P8" s="4">
        <v>3020.0471389999998</v>
      </c>
      <c r="Q8" s="4">
        <v>185.36585400000001</v>
      </c>
      <c r="R8" s="4">
        <v>418.52705200000003</v>
      </c>
      <c r="S8" s="4">
        <v>9.3630990000000001</v>
      </c>
      <c r="T8" s="4">
        <v>0</v>
      </c>
      <c r="U8" s="4">
        <v>50.221128</v>
      </c>
      <c r="V8" s="4">
        <v>41.238315</v>
      </c>
      <c r="W8" s="4">
        <v>16.402107999999998</v>
      </c>
      <c r="X8" s="4">
        <v>741.50578599999994</v>
      </c>
      <c r="Y8" s="4">
        <v>4033.04732537874</v>
      </c>
      <c r="Z8" s="4">
        <v>1289.59981230728</v>
      </c>
      <c r="AA8" s="4">
        <v>39.526075881485497</v>
      </c>
      <c r="AB8" s="4">
        <v>17857.621665102601</v>
      </c>
      <c r="AC8" s="4">
        <v>20.595086472717501</v>
      </c>
      <c r="AD8" s="4">
        <v>43.543035259418097</v>
      </c>
      <c r="AE8" s="4">
        <v>20.607655181659698</v>
      </c>
      <c r="AF8" s="4">
        <v>4566.9660812441298</v>
      </c>
      <c r="AG8" s="4">
        <v>58874.346427135002</v>
      </c>
      <c r="AH8" s="4">
        <v>10092.4219064218</v>
      </c>
      <c r="AI8" s="4">
        <v>5637.8200831210597</v>
      </c>
      <c r="AJ8" s="4">
        <v>3298.53197479555</v>
      </c>
      <c r="AK8" s="4">
        <v>1624.3799436921799</v>
      </c>
      <c r="AL8" s="4">
        <v>52.984649416811898</v>
      </c>
      <c r="AM8" s="4">
        <v>640.85333154578404</v>
      </c>
      <c r="AN8" s="4">
        <v>1993.1458640568401</v>
      </c>
      <c r="AO8" s="4">
        <v>3900.82450730661</v>
      </c>
      <c r="AP8" s="4">
        <v>24.975784287438</v>
      </c>
      <c r="AQ8" s="4">
        <v>3178.87786566564</v>
      </c>
    </row>
    <row r="9" spans="1:43" x14ac:dyDescent="0.2">
      <c r="A9" s="2" t="s">
        <v>73</v>
      </c>
      <c r="B9" s="3" t="s">
        <v>72</v>
      </c>
      <c r="C9" s="3" t="s">
        <v>45</v>
      </c>
      <c r="D9" s="3" t="s">
        <v>48</v>
      </c>
      <c r="E9" s="3"/>
      <c r="F9" s="4">
        <v>120.95309</v>
      </c>
      <c r="G9" s="4">
        <v>2.2130000000000001E-3</v>
      </c>
      <c r="H9" s="4">
        <v>127.2276</v>
      </c>
      <c r="I9" s="4">
        <v>2940.680069</v>
      </c>
      <c r="J9" s="4">
        <v>1.470737</v>
      </c>
      <c r="K9" s="4">
        <v>1.9406E-2</v>
      </c>
      <c r="L9" s="4">
        <v>6.1593000000000002E-2</v>
      </c>
      <c r="M9" s="4">
        <v>1.83172</v>
      </c>
      <c r="N9" s="4">
        <v>4.5490199999999996</v>
      </c>
      <c r="O9" s="4">
        <v>218.674609</v>
      </c>
      <c r="P9" s="4">
        <v>182.06999300000001</v>
      </c>
      <c r="Q9" s="4">
        <v>63.360635000000002</v>
      </c>
      <c r="R9" s="4">
        <v>465.92206499999998</v>
      </c>
      <c r="S9" s="4">
        <v>0.61236000000000002</v>
      </c>
      <c r="T9" s="4">
        <v>31.273268999999999</v>
      </c>
      <c r="U9" s="4">
        <v>19.122363</v>
      </c>
      <c r="V9" s="4">
        <v>32.534128000000003</v>
      </c>
      <c r="W9" s="4">
        <v>18.962522</v>
      </c>
      <c r="X9" s="4">
        <v>132.93621200000001</v>
      </c>
      <c r="Y9" s="4">
        <v>11721.52539732</v>
      </c>
      <c r="Z9" s="4">
        <v>20.043335151137398</v>
      </c>
      <c r="AA9" s="4">
        <v>340.00077905889702</v>
      </c>
      <c r="AB9" s="4">
        <v>5768.7363664693103</v>
      </c>
      <c r="AC9" s="4">
        <v>3.9948192583359301</v>
      </c>
      <c r="AD9" s="4">
        <v>8.0048301651604898</v>
      </c>
      <c r="AE9" s="4">
        <v>21.393931131193501</v>
      </c>
      <c r="AF9" s="4">
        <v>60.851316609535701</v>
      </c>
      <c r="AG9" s="4">
        <v>23471.096914926798</v>
      </c>
      <c r="AH9" s="4">
        <v>7547.0356808974802</v>
      </c>
      <c r="AI9" s="4">
        <v>2334.2552196946099</v>
      </c>
      <c r="AJ9" s="4">
        <v>1114.8332813960701</v>
      </c>
      <c r="AK9" s="4">
        <v>1566.72639451543</v>
      </c>
      <c r="AL9" s="4">
        <v>13.4113041445933</v>
      </c>
      <c r="AM9" s="4">
        <v>2307.6698348395098</v>
      </c>
      <c r="AN9" s="4">
        <v>850.76153007167295</v>
      </c>
      <c r="AO9" s="4">
        <v>558.29308195699605</v>
      </c>
      <c r="AP9" s="4">
        <v>35.3354822374572</v>
      </c>
      <c r="AQ9" s="4">
        <v>669.77641009660294</v>
      </c>
    </row>
    <row r="10" spans="1:43" x14ac:dyDescent="0.2">
      <c r="A10" s="2" t="s">
        <v>76</v>
      </c>
      <c r="B10" s="3" t="s">
        <v>72</v>
      </c>
      <c r="C10" s="3" t="s">
        <v>52</v>
      </c>
      <c r="D10" s="3" t="s">
        <v>48</v>
      </c>
      <c r="E10" s="3"/>
      <c r="F10" s="4">
        <v>86.588966999999997</v>
      </c>
      <c r="G10" s="4">
        <v>0</v>
      </c>
      <c r="H10" s="4">
        <v>105.521146</v>
      </c>
      <c r="I10" s="4">
        <v>2544.1225439999998</v>
      </c>
      <c r="J10" s="4">
        <v>1.2269509999999999</v>
      </c>
      <c r="K10" s="4">
        <v>0</v>
      </c>
      <c r="L10" s="4">
        <v>7.5630000000000003E-3</v>
      </c>
      <c r="M10" s="4">
        <v>1.2641579999999999</v>
      </c>
      <c r="N10" s="4">
        <v>1.629659</v>
      </c>
      <c r="O10" s="4">
        <v>0</v>
      </c>
      <c r="P10" s="4">
        <v>165.53224599999999</v>
      </c>
      <c r="Q10" s="4">
        <v>56.325896</v>
      </c>
      <c r="R10" s="4">
        <v>372.960373</v>
      </c>
      <c r="S10" s="4">
        <v>0.54585399999999995</v>
      </c>
      <c r="T10" s="4">
        <v>31.932511999999999</v>
      </c>
      <c r="U10" s="4">
        <v>13.600622</v>
      </c>
      <c r="V10" s="4">
        <v>34.818514999999998</v>
      </c>
      <c r="W10" s="4">
        <v>17.800865999999999</v>
      </c>
      <c r="X10" s="4">
        <v>111.763792</v>
      </c>
      <c r="Y10" s="4">
        <v>12080.944972158501</v>
      </c>
      <c r="Z10" s="4">
        <v>15.563175565018</v>
      </c>
      <c r="AA10" s="4">
        <v>218.05396331477201</v>
      </c>
      <c r="AB10" s="4">
        <v>5047.0848345889299</v>
      </c>
      <c r="AC10" s="4">
        <v>4.1491975106452701</v>
      </c>
      <c r="AD10" s="4">
        <v>7.6001064526695101</v>
      </c>
      <c r="AE10" s="4">
        <v>17.5493367179823</v>
      </c>
      <c r="AF10" s="4">
        <v>61.961595152309201</v>
      </c>
      <c r="AG10" s="4">
        <v>20009.621683589899</v>
      </c>
      <c r="AH10" s="4">
        <v>8022.0275139207297</v>
      </c>
      <c r="AI10" s="4">
        <v>2003.1116934163099</v>
      </c>
      <c r="AJ10" s="4">
        <v>994.64665902391096</v>
      </c>
      <c r="AK10" s="4">
        <v>1279.5815591221799</v>
      </c>
      <c r="AL10" s="4">
        <v>11.881960366852301</v>
      </c>
      <c r="AM10" s="4">
        <v>1808.5489682279699</v>
      </c>
      <c r="AN10" s="4">
        <v>703.44742875859799</v>
      </c>
      <c r="AO10" s="4">
        <v>478.11578774975402</v>
      </c>
      <c r="AP10" s="4">
        <v>31.063707828365501</v>
      </c>
      <c r="AQ10" s="4">
        <v>572.54135276776901</v>
      </c>
    </row>
    <row r="11" spans="1:43" x14ac:dyDescent="0.2">
      <c r="A11" s="2" t="s">
        <v>81</v>
      </c>
      <c r="B11" s="3" t="s">
        <v>79</v>
      </c>
      <c r="C11" s="3" t="s">
        <v>45</v>
      </c>
      <c r="D11" s="3" t="s">
        <v>50</v>
      </c>
      <c r="E11" s="3"/>
      <c r="F11" s="4">
        <v>20.409182000000001</v>
      </c>
      <c r="G11" s="4">
        <v>2.2662999999999999E-2</v>
      </c>
      <c r="H11" s="4">
        <v>12.68863</v>
      </c>
      <c r="I11" s="4">
        <v>1700.519282</v>
      </c>
      <c r="J11" s="4">
        <v>6.8205000000000002E-2</v>
      </c>
      <c r="K11" s="4">
        <v>0.21823400000000001</v>
      </c>
      <c r="L11" s="4">
        <v>2.7885E-2</v>
      </c>
      <c r="M11" s="4">
        <v>0.75139800000000001</v>
      </c>
      <c r="N11" s="4">
        <v>8.1484629999999996</v>
      </c>
      <c r="O11" s="4">
        <v>346.38063599999998</v>
      </c>
      <c r="P11" s="4">
        <v>197.25887499999999</v>
      </c>
      <c r="Q11" s="4">
        <v>61.825713999999998</v>
      </c>
      <c r="R11" s="4">
        <v>324.97375199999999</v>
      </c>
      <c r="S11" s="4">
        <v>0.91189200000000004</v>
      </c>
      <c r="T11" s="4">
        <v>49.760221999999999</v>
      </c>
      <c r="U11" s="4">
        <v>0.39443800000000001</v>
      </c>
      <c r="V11" s="4">
        <v>39.703754000000004</v>
      </c>
      <c r="W11" s="4">
        <v>12.70679</v>
      </c>
      <c r="X11" s="4">
        <v>5.6593169999999997</v>
      </c>
      <c r="Y11" s="4">
        <v>3815.75226244344</v>
      </c>
      <c r="Z11" s="4">
        <v>7.0574095022624403</v>
      </c>
      <c r="AA11" s="4">
        <v>29.849759615384599</v>
      </c>
      <c r="AB11" s="4">
        <v>3318.7217194570098</v>
      </c>
      <c r="AC11" s="4">
        <v>0.31103883861236797</v>
      </c>
      <c r="AD11" s="4">
        <v>2.7488687782805399</v>
      </c>
      <c r="AE11" s="4">
        <v>11.100113122172001</v>
      </c>
      <c r="AF11" s="4">
        <v>7.7672511312217196</v>
      </c>
      <c r="AG11" s="4">
        <v>7444.8529411764703</v>
      </c>
      <c r="AH11" s="4">
        <v>9677.8704751131208</v>
      </c>
      <c r="AI11" s="4">
        <v>963.61236802413305</v>
      </c>
      <c r="AJ11" s="4">
        <v>215.144230769231</v>
      </c>
      <c r="AK11" s="4">
        <v>1274.4626696832599</v>
      </c>
      <c r="AL11" s="4">
        <v>5.9827488687782804</v>
      </c>
      <c r="AM11" s="4">
        <v>592.90158371040695</v>
      </c>
      <c r="AN11" s="4">
        <v>9.7808257918552002</v>
      </c>
      <c r="AO11" s="4">
        <v>445.418552036199</v>
      </c>
      <c r="AP11" s="4">
        <v>22.956730769230798</v>
      </c>
      <c r="AQ11" s="4">
        <v>26.187782805429901</v>
      </c>
    </row>
    <row r="12" spans="1:43" x14ac:dyDescent="0.2">
      <c r="A12" s="2" t="s">
        <v>82</v>
      </c>
      <c r="B12" s="3" t="s">
        <v>79</v>
      </c>
      <c r="C12" s="3" t="s">
        <v>52</v>
      </c>
      <c r="D12" s="3" t="s">
        <v>46</v>
      </c>
      <c r="E12" s="3"/>
      <c r="F12" s="4">
        <v>17.484966</v>
      </c>
      <c r="G12" s="4">
        <v>0</v>
      </c>
      <c r="H12" s="4">
        <v>15.52765</v>
      </c>
      <c r="I12" s="4">
        <v>9772.4324959999994</v>
      </c>
      <c r="J12" s="4">
        <v>0.10956299999999999</v>
      </c>
      <c r="K12" s="4">
        <v>0.1104</v>
      </c>
      <c r="L12" s="4">
        <v>0</v>
      </c>
      <c r="M12" s="4">
        <v>0.66183199999999998</v>
      </c>
      <c r="N12" s="4">
        <v>4.7293950000000002</v>
      </c>
      <c r="O12" s="4">
        <v>864.75651500000004</v>
      </c>
      <c r="P12" s="4">
        <v>357.31635399999999</v>
      </c>
      <c r="Q12" s="4">
        <v>92.736705999999998</v>
      </c>
      <c r="R12" s="4">
        <v>421.29465900000002</v>
      </c>
      <c r="S12" s="4">
        <v>0.63612800000000003</v>
      </c>
      <c r="T12" s="4">
        <v>92.111778999999999</v>
      </c>
      <c r="U12" s="4">
        <v>0.438639</v>
      </c>
      <c r="V12" s="4">
        <v>171.92547999999999</v>
      </c>
      <c r="W12" s="4">
        <v>31.429076999999999</v>
      </c>
      <c r="X12" s="4">
        <v>10.108478</v>
      </c>
      <c r="Y12" s="4">
        <v>3781.0068093385198</v>
      </c>
      <c r="Z12" s="4">
        <v>10.169712340188999</v>
      </c>
      <c r="AA12" s="4">
        <v>32.198096164535897</v>
      </c>
      <c r="AB12" s="4">
        <v>12368.5901889939</v>
      </c>
      <c r="AC12" s="4">
        <v>0.30774909672040002</v>
      </c>
      <c r="AD12" s="4">
        <v>2.32629238465814</v>
      </c>
      <c r="AE12" s="4">
        <v>13.8670789327404</v>
      </c>
      <c r="AF12" s="4">
        <v>9.1926070038910499</v>
      </c>
      <c r="AG12" s="4">
        <v>7243.0864369093897</v>
      </c>
      <c r="AH12" s="4">
        <v>11740.8977209561</v>
      </c>
      <c r="AI12" s="4">
        <v>1069.42224847137</v>
      </c>
      <c r="AJ12" s="4">
        <v>220.04412173429699</v>
      </c>
      <c r="AK12" s="4">
        <v>1637.3158699277401</v>
      </c>
      <c r="AL12" s="4">
        <v>6.8889834630350197</v>
      </c>
      <c r="AM12" s="4">
        <v>659.22040022234603</v>
      </c>
      <c r="AN12" s="4">
        <v>10.382330461367401</v>
      </c>
      <c r="AO12" s="4">
        <v>679.28362979432995</v>
      </c>
      <c r="AP12" s="4">
        <v>38.083657587548601</v>
      </c>
      <c r="AQ12" s="4">
        <v>34.183053085047298</v>
      </c>
    </row>
    <row r="13" spans="1:43" x14ac:dyDescent="0.2">
      <c r="A13" s="5" t="s">
        <v>102</v>
      </c>
      <c r="B13" s="3" t="s">
        <v>86</v>
      </c>
      <c r="C13" s="3" t="s">
        <v>45</v>
      </c>
      <c r="D13" s="3" t="s">
        <v>50</v>
      </c>
      <c r="E13" s="3"/>
      <c r="F13" s="4">
        <v>0.96806700000000001</v>
      </c>
      <c r="G13" s="4">
        <v>0</v>
      </c>
      <c r="H13" s="4">
        <v>12.639900000000001</v>
      </c>
      <c r="I13" s="4">
        <v>61263.616558000002</v>
      </c>
      <c r="J13" s="4">
        <v>9.0744000000000005E-2</v>
      </c>
      <c r="K13" s="4">
        <v>3.7386000000000003E-2</v>
      </c>
      <c r="L13" s="4">
        <v>5.6769E-2</v>
      </c>
      <c r="M13" s="4">
        <v>0.56159400000000004</v>
      </c>
      <c r="N13" s="4">
        <v>1.1804539999999999</v>
      </c>
      <c r="O13" s="4">
        <v>1082.975412</v>
      </c>
      <c r="P13" s="4">
        <v>914.41020900000001</v>
      </c>
      <c r="Q13" s="4">
        <v>96.520386000000002</v>
      </c>
      <c r="R13" s="4">
        <v>704.38842199999999</v>
      </c>
      <c r="S13" s="4">
        <v>0.68222799999999995</v>
      </c>
      <c r="T13" s="4">
        <v>47.245564999999999</v>
      </c>
      <c r="U13" s="4">
        <v>0.22147500000000001</v>
      </c>
      <c r="V13" s="4">
        <v>104.400871</v>
      </c>
      <c r="W13" s="4">
        <v>62.433861999999998</v>
      </c>
      <c r="X13" s="4">
        <v>1.07812</v>
      </c>
      <c r="Y13" s="4">
        <v>8823.0229591836705</v>
      </c>
      <c r="Z13" s="4">
        <v>5.2490433673469399</v>
      </c>
      <c r="AA13" s="4">
        <v>35.565210459183703</v>
      </c>
      <c r="AB13" s="4">
        <v>97686.543367346894</v>
      </c>
      <c r="AC13" s="4">
        <v>0.57405133928571395</v>
      </c>
      <c r="AD13" s="4">
        <v>8.3628826530612201</v>
      </c>
      <c r="AE13" s="4">
        <v>24.308035714285701</v>
      </c>
      <c r="AF13" s="4">
        <v>13.3163265306122</v>
      </c>
      <c r="AG13" s="4">
        <v>17033.801020408198</v>
      </c>
      <c r="AH13" s="4">
        <v>9224.5695153061206</v>
      </c>
      <c r="AI13" s="4">
        <v>9802.1364795918398</v>
      </c>
      <c r="AJ13" s="4">
        <v>482.93207908163299</v>
      </c>
      <c r="AK13" s="4">
        <v>1858.6176658163299</v>
      </c>
      <c r="AL13" s="4">
        <v>30.899234693877599</v>
      </c>
      <c r="AM13" s="4">
        <v>390.01913265306098</v>
      </c>
      <c r="AN13" s="4">
        <v>2.70129145408163</v>
      </c>
      <c r="AO13" s="4">
        <v>672.27359693877497</v>
      </c>
      <c r="AP13" s="4">
        <v>175.82908163265299</v>
      </c>
      <c r="AQ13" s="4">
        <v>35.428890306122497</v>
      </c>
    </row>
    <row r="14" spans="1:43" x14ac:dyDescent="0.2">
      <c r="A14" s="5" t="s">
        <v>103</v>
      </c>
      <c r="B14" s="3" t="s">
        <v>86</v>
      </c>
      <c r="C14" s="3" t="s">
        <v>52</v>
      </c>
      <c r="D14" s="3" t="s">
        <v>50</v>
      </c>
      <c r="E14" s="3"/>
      <c r="F14" s="4">
        <v>0.21765200000000001</v>
      </c>
      <c r="G14" s="4">
        <v>0</v>
      </c>
      <c r="H14" s="4">
        <v>17.219101999999999</v>
      </c>
      <c r="I14" s="4">
        <v>58791.714956000003</v>
      </c>
      <c r="J14" s="4">
        <v>7.7989000000000003E-2</v>
      </c>
      <c r="K14" s="4">
        <v>4.6202E-2</v>
      </c>
      <c r="L14" s="4">
        <v>5.5202000000000001E-2</v>
      </c>
      <c r="M14" s="4">
        <v>0.45300299999999999</v>
      </c>
      <c r="N14" s="4">
        <v>2.6995930000000001</v>
      </c>
      <c r="O14" s="4">
        <v>788.80271000000005</v>
      </c>
      <c r="P14" s="4">
        <v>968.17330800000002</v>
      </c>
      <c r="Q14" s="4">
        <v>70.999375999999998</v>
      </c>
      <c r="R14" s="4">
        <v>604.55855699999995</v>
      </c>
      <c r="S14" s="4">
        <v>0.811863</v>
      </c>
      <c r="T14" s="4">
        <v>57.828890999999999</v>
      </c>
      <c r="U14" s="4">
        <v>0.34737699999999999</v>
      </c>
      <c r="V14" s="4">
        <v>118.534367</v>
      </c>
      <c r="W14" s="4">
        <v>60.943210999999998</v>
      </c>
      <c r="X14" s="4">
        <v>0.98766799999999999</v>
      </c>
      <c r="Y14" s="4">
        <v>8616.6168442942508</v>
      </c>
      <c r="Z14" s="4">
        <v>7.6954445022095097</v>
      </c>
      <c r="AA14" s="4">
        <v>33.560282362880201</v>
      </c>
      <c r="AB14" s="4">
        <v>100008.123212893</v>
      </c>
      <c r="AC14" s="4">
        <v>0.58740577073043898</v>
      </c>
      <c r="AD14" s="4">
        <v>9.2575383415648602</v>
      </c>
      <c r="AE14" s="4">
        <v>22.554100597868501</v>
      </c>
      <c r="AF14" s="4">
        <v>14.855731739017401</v>
      </c>
      <c r="AG14" s="4">
        <v>17112.360280738201</v>
      </c>
      <c r="AH14" s="4">
        <v>8955.1111255523792</v>
      </c>
      <c r="AI14" s="4">
        <v>11202.2355081882</v>
      </c>
      <c r="AJ14" s="4">
        <v>386.16129451520698</v>
      </c>
      <c r="AK14" s="4">
        <v>1884.23609305953</v>
      </c>
      <c r="AL14" s="4">
        <v>29.864992201715602</v>
      </c>
      <c r="AM14" s="4">
        <v>390.49909020015599</v>
      </c>
      <c r="AN14" s="4">
        <v>2.5588120613465</v>
      </c>
      <c r="AO14" s="4">
        <v>628.73667793085497</v>
      </c>
      <c r="AP14" s="4">
        <v>181.31011177540901</v>
      </c>
      <c r="AQ14" s="4">
        <v>35.509000519885603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FULL_DATASET</vt:lpstr>
      <vt:lpstr>14_DATASET</vt:lpstr>
      <vt:lpstr>GR_1_S_1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Pin</dc:creator>
  <cp:lastModifiedBy>Hicham Klaina</cp:lastModifiedBy>
  <dcterms:created xsi:type="dcterms:W3CDTF">2026-07-02T07:58:26Z</dcterms:created>
  <dcterms:modified xsi:type="dcterms:W3CDTF">2026-07-03T19:34:21Z</dcterms:modified>
</cp:coreProperties>
</file>